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4.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5.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omments1.xml" ContentType="application/vnd.openxmlformats-officedocument.spreadsheetml.comments+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2"/>
  <workbookPr filterPrivacy="1" updateLinks="always"/>
  <xr:revisionPtr revIDLastSave="0" documentId="8_{DF82AEDB-9B9E-44F4-8F1D-2F389B9DB93F}" xr6:coauthVersionLast="47" xr6:coauthVersionMax="47" xr10:uidLastSave="{00000000-0000-0000-0000-000000000000}"/>
  <bookViews>
    <workbookView xWindow="-108" yWindow="-108" windowWidth="23256" windowHeight="12456" firstSheet="3" activeTab="5" xr2:uid="{00000000-000D-0000-FFFF-FFFF00000000}"/>
  </bookViews>
  <sheets>
    <sheet name="_CIQHiddenCacheSheet" sheetId="280" state="veryHidden" r:id="rId1"/>
    <sheet name="Title" sheetId="282" r:id="rId2"/>
    <sheet name="Instructions" sheetId="283" r:id="rId3"/>
    <sheet name="Precedents" sheetId="48" r:id="rId4"/>
    <sheet name="Valuation" sheetId="304" r:id="rId5"/>
    <sheet name="Peer Comps" sheetId="300" r:id="rId6"/>
    <sheet name="DCF " sheetId="296" r:id="rId7"/>
    <sheet name="Exhibits" sheetId="281" r:id="rId8"/>
    <sheet name="Forecasting " sheetId="297" r:id="rId9"/>
    <sheet name="Analysis" sheetId="288" r:id="rId10"/>
    <sheet name="Segments" sheetId="292" r:id="rId11"/>
    <sheet name="historicals + revenue split " sheetId="293" r:id="rId12"/>
    <sheet name="Segment Analysis from cap iq " sheetId="294" r:id="rId13"/>
    <sheet name="Balance Sheet (As Reported)" sheetId="303" r:id="rId14"/>
    <sheet name="CAP IQ Multiples monthly" sheetId="299" r:id="rId15"/>
  </sheets>
  <externalReferences>
    <externalReference r:id="rId16"/>
  </externalReferences>
  <definedNames>
    <definedName name="CIQWBGuid" localSheetId="2" hidden="1">"71c12032-bdfd-4ca5-9e93-c9511c92c544"</definedName>
    <definedName name="CIQWBGuid" localSheetId="1" hidden="1">"71c12032-bdfd-4ca5-9e93-c9511c92c544"</definedName>
    <definedName name="CIQWBGuid" hidden="1">"f288bf4e-4a8d-4a77-86b4-37ad63407caf"</definedName>
    <definedName name="IQ_CH">110000</definedName>
    <definedName name="IQ_CQ">5000</definedName>
    <definedName name="IQ_CY">10000</definedName>
    <definedName name="IQ_DAILY">500000</definedName>
    <definedName name="IQ_DNTM" hidden="1">700000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localSheetId="2" hidden="1">"01/17/2020 01:14:35"</definedName>
    <definedName name="IQ_NAMES_REVISION_DATE_" localSheetId="1" hidden="1">"01/17/2020 01:14:35"</definedName>
    <definedName name="IQ_NAMES_REVISION_DATE_" hidden="1">"09/23/2019 22:49:17"</definedName>
    <definedName name="IQ_NTM">6000</definedName>
    <definedName name="IQ_QTD" hidden="1">750000</definedName>
    <definedName name="IQ_TODAY" hidden="1">0</definedName>
    <definedName name="IQ_WEEK">50000</definedName>
    <definedName name="IQ_YTD">3000</definedName>
    <definedName name="IQ_YTDMONTH" hidden="1">130000</definedName>
    <definedName name="_xlnm.Print_Area" localSheetId="6">'DCF '!$A$1:$S$40</definedName>
    <definedName name="_xlnm.Print_Area" localSheetId="7">Exhibits!$A$1:$AP$109</definedName>
    <definedName name="_xlnm.Print_Area" localSheetId="2">Instructions!$A$1:$Q$22</definedName>
    <definedName name="_xlnm.Print_Area" localSheetId="3">Precedents!$A$1:$G$13</definedName>
    <definedName name="_xlnm.Print_Area" localSheetId="1">Title!$A$1:$Q$44</definedName>
    <definedName name="_xlnm.Print_Titles" localSheetId="10">Segments!#REF!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10" i="293" l="1"/>
  <c r="L32" i="293"/>
  <c r="G35" i="293"/>
  <c r="AM7" i="281"/>
  <c r="AZ60" i="296"/>
  <c r="AZ59" i="296"/>
  <c r="AZ58" i="296"/>
  <c r="AZ57" i="296"/>
  <c r="AZ56" i="296"/>
  <c r="AZ55" i="296"/>
  <c r="AZ54" i="296"/>
  <c r="AZ53" i="296"/>
  <c r="AZ52" i="296"/>
  <c r="AZ51" i="296"/>
  <c r="AQ29" i="296"/>
  <c r="AQ28" i="296"/>
  <c r="AQ27" i="296"/>
  <c r="AQ26" i="296"/>
  <c r="AQ25" i="296"/>
  <c r="AQ24" i="296"/>
  <c r="AQ23" i="296"/>
  <c r="AQ22" i="296"/>
  <c r="AQ21" i="296"/>
  <c r="AQ20" i="296"/>
  <c r="I12" i="300"/>
  <c r="J143" i="281"/>
  <c r="K134" i="281"/>
  <c r="K135" i="281" s="1"/>
  <c r="F6" i="304"/>
  <c r="E6" i="304"/>
  <c r="D6" i="304"/>
  <c r="F5" i="304"/>
  <c r="E5" i="304"/>
  <c r="D5" i="304"/>
  <c r="D10" i="304"/>
  <c r="E10" i="304"/>
  <c r="F10" i="304"/>
  <c r="C4" i="296"/>
  <c r="D4" i="296" s="1"/>
  <c r="E4" i="296" s="1"/>
  <c r="F4" i="296" s="1"/>
  <c r="G4" i="296" s="1"/>
  <c r="J216" i="281"/>
  <c r="G12" i="297"/>
  <c r="H12" i="297"/>
  <c r="C28" i="297"/>
  <c r="C30" i="297" s="1"/>
  <c r="G9" i="297"/>
  <c r="H20" i="296" s="1"/>
  <c r="B9" i="297" s="1"/>
  <c r="B5" i="297"/>
  <c r="B4" i="297"/>
  <c r="B6" i="297" s="1"/>
  <c r="C3" i="297"/>
  <c r="C5" i="297" s="1"/>
  <c r="C4" i="297" s="1"/>
  <c r="C7" i="281" s="1"/>
  <c r="R15" i="296"/>
  <c r="R16" i="296" s="1"/>
  <c r="AI145" i="281"/>
  <c r="AH145" i="281"/>
  <c r="AE145" i="281"/>
  <c r="AD145" i="281"/>
  <c r="AC145" i="281"/>
  <c r="AI136" i="281"/>
  <c r="AH136" i="281"/>
  <c r="AE136" i="281"/>
  <c r="AD136" i="281"/>
  <c r="AC136" i="281"/>
  <c r="C28" i="300"/>
  <c r="AH6" i="281"/>
  <c r="AI6" i="281"/>
  <c r="AI7" i="281" s="1"/>
  <c r="AJ6" i="281"/>
  <c r="AJ7" i="281" s="1"/>
  <c r="AK6" i="281"/>
  <c r="AK9" i="281" s="1"/>
  <c r="AL6" i="281"/>
  <c r="AL9" i="281" s="1"/>
  <c r="AL10" i="281" s="1"/>
  <c r="AM6" i="281"/>
  <c r="AM9" i="281" s="1"/>
  <c r="AN8" i="281"/>
  <c r="C10" i="281"/>
  <c r="D10" i="281"/>
  <c r="E10" i="281" s="1"/>
  <c r="C14" i="281"/>
  <c r="D14" i="281"/>
  <c r="D10" i="296" s="1"/>
  <c r="C19" i="281"/>
  <c r="C14" i="296" s="1"/>
  <c r="C30" i="281" s="1"/>
  <c r="AH19" i="281"/>
  <c r="AN19" i="281" s="1"/>
  <c r="AI19" i="281"/>
  <c r="AJ19" i="281"/>
  <c r="AK19" i="281"/>
  <c r="AL19" i="281"/>
  <c r="AI28" i="281"/>
  <c r="AJ28" i="281"/>
  <c r="AK28" i="281"/>
  <c r="AL28" i="281"/>
  <c r="AM28" i="281"/>
  <c r="AN28" i="281"/>
  <c r="U29" i="281"/>
  <c r="AM29" i="281"/>
  <c r="AH31" i="281"/>
  <c r="AI31" i="281"/>
  <c r="AJ31" i="281"/>
  <c r="AK31" i="281"/>
  <c r="AL31" i="281"/>
  <c r="AJ36" i="281" s="1"/>
  <c r="AN31" i="281"/>
  <c r="C31" i="300" s="1"/>
  <c r="AH41" i="281"/>
  <c r="AH11" i="281" s="1"/>
  <c r="AI41" i="281"/>
  <c r="AI11" i="281" s="1"/>
  <c r="AJ41" i="281"/>
  <c r="AJ11" i="281" s="1"/>
  <c r="AK41" i="281"/>
  <c r="AK11" i="281" s="1"/>
  <c r="AL41" i="281"/>
  <c r="AL11" i="281" s="1"/>
  <c r="AM41" i="281"/>
  <c r="AH57" i="281"/>
  <c r="AI57" i="281"/>
  <c r="AJ57" i="281"/>
  <c r="AK57" i="281"/>
  <c r="AD69" i="281"/>
  <c r="AE69" i="281"/>
  <c r="AH69" i="281"/>
  <c r="AI69" i="281"/>
  <c r="AJ69" i="281"/>
  <c r="AD71" i="281"/>
  <c r="AE71" i="281"/>
  <c r="AH71" i="281"/>
  <c r="AI71" i="281"/>
  <c r="AJ71" i="281"/>
  <c r="AD74" i="281"/>
  <c r="AE74" i="281"/>
  <c r="AH74" i="281"/>
  <c r="AI74" i="281"/>
  <c r="AJ74" i="281"/>
  <c r="I197" i="281"/>
  <c r="I196" i="281"/>
  <c r="AD199" i="281"/>
  <c r="AD196" i="281"/>
  <c r="AD195" i="281"/>
  <c r="AD192" i="281"/>
  <c r="AD197" i="281" s="1"/>
  <c r="AD191" i="281"/>
  <c r="AD184" i="281"/>
  <c r="AC156" i="281"/>
  <c r="F12" i="48"/>
  <c r="F7" i="48"/>
  <c r="F4" i="48"/>
  <c r="AD141" i="281"/>
  <c r="AE141" i="281"/>
  <c r="AH141" i="281"/>
  <c r="AI141" i="281"/>
  <c r="AC141" i="281"/>
  <c r="D32" i="300"/>
  <c r="D31" i="300"/>
  <c r="D30" i="300"/>
  <c r="D29" i="300"/>
  <c r="D28" i="300"/>
  <c r="AL13" i="300"/>
  <c r="AL12" i="300"/>
  <c r="AK13" i="300"/>
  <c r="AK12" i="300"/>
  <c r="AJ13" i="300"/>
  <c r="AJ12" i="300"/>
  <c r="AI13" i="300"/>
  <c r="AI12" i="300"/>
  <c r="AH13" i="300"/>
  <c r="AH12" i="300"/>
  <c r="AG13" i="300"/>
  <c r="AG12" i="300"/>
  <c r="AF13" i="300"/>
  <c r="AF12" i="300"/>
  <c r="AE13" i="300"/>
  <c r="AE12" i="300"/>
  <c r="AD13" i="300"/>
  <c r="AD12" i="300"/>
  <c r="AC13" i="300"/>
  <c r="AC12" i="300"/>
  <c r="AB13" i="300"/>
  <c r="AB12" i="300"/>
  <c r="AA13" i="300"/>
  <c r="AA12" i="300"/>
  <c r="Z13" i="300"/>
  <c r="Z12" i="300"/>
  <c r="Y13" i="300"/>
  <c r="Y12" i="300"/>
  <c r="X13" i="300"/>
  <c r="X12" i="300"/>
  <c r="AL11" i="300"/>
  <c r="AK11" i="300"/>
  <c r="AJ11" i="300"/>
  <c r="AI11" i="300"/>
  <c r="AH11" i="300"/>
  <c r="AG11" i="300"/>
  <c r="AF11" i="300"/>
  <c r="AE11" i="300"/>
  <c r="AD11" i="300"/>
  <c r="AC11" i="300"/>
  <c r="AB11" i="300"/>
  <c r="AA11" i="300"/>
  <c r="Z11" i="300"/>
  <c r="Y11" i="300"/>
  <c r="X11" i="300"/>
  <c r="F6" i="48"/>
  <c r="AL10" i="300"/>
  <c r="AK10" i="300"/>
  <c r="AJ10" i="300"/>
  <c r="AI10" i="300"/>
  <c r="AH10" i="300"/>
  <c r="AG10" i="300"/>
  <c r="AF10" i="300"/>
  <c r="AE10" i="300"/>
  <c r="AD10" i="300"/>
  <c r="AC10" i="300"/>
  <c r="AB10" i="300"/>
  <c r="AA10" i="300"/>
  <c r="Z10" i="300"/>
  <c r="Y10" i="300"/>
  <c r="X10" i="300"/>
  <c r="F5" i="48"/>
  <c r="AJ4" i="300"/>
  <c r="Q15" i="300"/>
  <c r="P15" i="300"/>
  <c r="O15" i="300"/>
  <c r="N15" i="300"/>
  <c r="M15" i="300"/>
  <c r="L15" i="300"/>
  <c r="K15" i="300"/>
  <c r="J15" i="300"/>
  <c r="I15" i="300"/>
  <c r="H15" i="300"/>
  <c r="G15" i="300"/>
  <c r="F15" i="300"/>
  <c r="E15" i="300"/>
  <c r="D15" i="300"/>
  <c r="C15" i="300"/>
  <c r="Q14" i="300"/>
  <c r="P14" i="300"/>
  <c r="O14" i="300"/>
  <c r="N14" i="300"/>
  <c r="M14" i="300"/>
  <c r="L14" i="300"/>
  <c r="J14" i="300"/>
  <c r="K14" i="300"/>
  <c r="I14" i="300"/>
  <c r="H14" i="300"/>
  <c r="G14" i="300"/>
  <c r="F14" i="300"/>
  <c r="E14" i="300"/>
  <c r="D14" i="300"/>
  <c r="C14" i="300"/>
  <c r="Q13" i="300"/>
  <c r="P13" i="300"/>
  <c r="O13" i="300"/>
  <c r="M12" i="300"/>
  <c r="M13" i="300"/>
  <c r="N13" i="300"/>
  <c r="L13" i="300"/>
  <c r="K13" i="300"/>
  <c r="J13" i="300"/>
  <c r="I13" i="300"/>
  <c r="H13" i="300"/>
  <c r="G13" i="300"/>
  <c r="F13" i="300"/>
  <c r="E13" i="300"/>
  <c r="D13" i="300"/>
  <c r="C13" i="300"/>
  <c r="Q12" i="300"/>
  <c r="P12" i="300"/>
  <c r="O12" i="300"/>
  <c r="N12" i="300"/>
  <c r="L12" i="300"/>
  <c r="K12" i="300"/>
  <c r="J12" i="300"/>
  <c r="H12" i="300"/>
  <c r="G12" i="300"/>
  <c r="F12" i="300"/>
  <c r="E12" i="300"/>
  <c r="D12" i="300"/>
  <c r="C12" i="300"/>
  <c r="N22" i="303"/>
  <c r="M22" i="303"/>
  <c r="L22" i="303"/>
  <c r="K22" i="303"/>
  <c r="J22" i="303"/>
  <c r="N20" i="303"/>
  <c r="K20" i="303"/>
  <c r="L20" i="303"/>
  <c r="M20" i="303"/>
  <c r="J20" i="303"/>
  <c r="K19" i="303"/>
  <c r="L19" i="303"/>
  <c r="M19" i="303"/>
  <c r="N19" i="303"/>
  <c r="J19" i="303"/>
  <c r="K18" i="303"/>
  <c r="L18" i="303"/>
  <c r="M18" i="303"/>
  <c r="N18" i="303"/>
  <c r="J18" i="303"/>
  <c r="N17" i="303"/>
  <c r="M17" i="303"/>
  <c r="L17" i="303"/>
  <c r="K17" i="303"/>
  <c r="J17" i="303"/>
  <c r="R9" i="296"/>
  <c r="K62" i="296"/>
  <c r="R12" i="296"/>
  <c r="T15" i="292"/>
  <c r="S15" i="292"/>
  <c r="R15" i="292"/>
  <c r="O15" i="292"/>
  <c r="P15" i="292"/>
  <c r="Q15" i="292"/>
  <c r="N15" i="292"/>
  <c r="U14" i="292"/>
  <c r="V14" i="292"/>
  <c r="W14" i="292"/>
  <c r="T14" i="292"/>
  <c r="Q14" i="292"/>
  <c r="R14" i="292"/>
  <c r="S14" i="292"/>
  <c r="P14" i="292"/>
  <c r="O14" i="292"/>
  <c r="N14" i="292"/>
  <c r="W13" i="292"/>
  <c r="S13" i="292"/>
  <c r="T13" i="292"/>
  <c r="U13" i="292"/>
  <c r="V13" i="292"/>
  <c r="R13" i="292"/>
  <c r="Q13" i="292"/>
  <c r="O13" i="292"/>
  <c r="P13" i="292"/>
  <c r="N13" i="292"/>
  <c r="W12" i="292"/>
  <c r="V12" i="292"/>
  <c r="U12" i="292"/>
  <c r="T12" i="292"/>
  <c r="L62" i="296"/>
  <c r="AJ5" i="300"/>
  <c r="Q12" i="292"/>
  <c r="R12" i="292"/>
  <c r="S12" i="292"/>
  <c r="P12" i="292"/>
  <c r="O12" i="292"/>
  <c r="N12" i="292"/>
  <c r="O4" i="300"/>
  <c r="O5" i="300"/>
  <c r="O6" i="300"/>
  <c r="O7" i="300"/>
  <c r="R30" i="296"/>
  <c r="R5" i="296"/>
  <c r="R38" i="296"/>
  <c r="C20" i="296"/>
  <c r="D20" i="293"/>
  <c r="E20" i="293"/>
  <c r="F20" i="293"/>
  <c r="G20" i="293"/>
  <c r="C20" i="293"/>
  <c r="I8" i="293"/>
  <c r="I7" i="293"/>
  <c r="I5" i="293"/>
  <c r="D8" i="293"/>
  <c r="E8" i="293"/>
  <c r="F8" i="293"/>
  <c r="G8" i="293"/>
  <c r="C8" i="293"/>
  <c r="I23" i="293"/>
  <c r="C103" i="294"/>
  <c r="D103" i="294"/>
  <c r="E103" i="294"/>
  <c r="F103" i="294"/>
  <c r="B103" i="294"/>
  <c r="C33" i="294"/>
  <c r="D33" i="294"/>
  <c r="E33" i="294"/>
  <c r="F33" i="294"/>
  <c r="B33" i="294"/>
  <c r="H34" i="293"/>
  <c r="D34" i="293"/>
  <c r="E34" i="293"/>
  <c r="F34" i="293"/>
  <c r="G34" i="293"/>
  <c r="C34" i="293"/>
  <c r="H7" i="293"/>
  <c r="D7" i="293"/>
  <c r="E7" i="293"/>
  <c r="F7" i="293"/>
  <c r="G7" i="293"/>
  <c r="C7" i="293"/>
  <c r="G33" i="293"/>
  <c r="H33" i="293" s="1"/>
  <c r="F33" i="293"/>
  <c r="E33" i="293"/>
  <c r="D33" i="293"/>
  <c r="C33" i="293"/>
  <c r="G32" i="293"/>
  <c r="H32" i="293" s="1"/>
  <c r="F32" i="293"/>
  <c r="E32" i="293"/>
  <c r="D32" i="293"/>
  <c r="C32" i="293"/>
  <c r="G31" i="293"/>
  <c r="H31" i="293" s="1"/>
  <c r="F31" i="293"/>
  <c r="E31" i="293"/>
  <c r="D31" i="293"/>
  <c r="C31" i="293"/>
  <c r="G26" i="293"/>
  <c r="G17" i="293" s="1"/>
  <c r="H17" i="293" s="1"/>
  <c r="F26" i="293"/>
  <c r="E26" i="293"/>
  <c r="D26" i="293"/>
  <c r="C26" i="293"/>
  <c r="G25" i="293"/>
  <c r="H25" i="293" s="1"/>
  <c r="F25" i="293"/>
  <c r="E25" i="293"/>
  <c r="D25" i="293"/>
  <c r="D16" i="293" s="1"/>
  <c r="C25" i="293"/>
  <c r="C16" i="293" s="1"/>
  <c r="G24" i="293"/>
  <c r="H24" i="293" s="1"/>
  <c r="F24" i="293"/>
  <c r="E24" i="293"/>
  <c r="D24" i="293"/>
  <c r="C24" i="293"/>
  <c r="G23" i="293"/>
  <c r="H23" i="293" s="1"/>
  <c r="F23" i="293"/>
  <c r="F17" i="293" s="1"/>
  <c r="E23" i="293"/>
  <c r="E17" i="293" s="1"/>
  <c r="D23" i="293"/>
  <c r="C23" i="293"/>
  <c r="G22" i="293"/>
  <c r="H22" i="293" s="1"/>
  <c r="F22" i="293"/>
  <c r="E22" i="293"/>
  <c r="D22" i="293"/>
  <c r="C22" i="293"/>
  <c r="C21" i="293" a="1"/>
  <c r="F15" i="293" s="1"/>
  <c r="D17" i="293"/>
  <c r="C17" i="293"/>
  <c r="G16" i="293"/>
  <c r="F16" i="293"/>
  <c r="E16" i="293"/>
  <c r="G11" i="293"/>
  <c r="H11" i="293" s="1"/>
  <c r="F11" i="293"/>
  <c r="E11" i="293"/>
  <c r="D11" i="293"/>
  <c r="C11" i="293"/>
  <c r="C6" i="293" a="1"/>
  <c r="G5" i="293"/>
  <c r="H5" i="293" s="1"/>
  <c r="F5" i="293"/>
  <c r="E5" i="293"/>
  <c r="D5" i="293"/>
  <c r="C5" i="293"/>
  <c r="G4" i="293"/>
  <c r="H4" i="293" s="1"/>
  <c r="F4" i="293"/>
  <c r="E4" i="293"/>
  <c r="D4" i="293"/>
  <c r="C4" i="293"/>
  <c r="E14" i="281" l="1"/>
  <c r="AL7" i="281"/>
  <c r="D19" i="281"/>
  <c r="AK7" i="281"/>
  <c r="AM11" i="281"/>
  <c r="AM12" i="281" s="1"/>
  <c r="I8" i="304"/>
  <c r="L8" i="304" s="1"/>
  <c r="H8" i="304"/>
  <c r="K8" i="304" s="1"/>
  <c r="G8" i="304"/>
  <c r="J8" i="304" s="1"/>
  <c r="G6" i="304"/>
  <c r="J6" i="304" s="1"/>
  <c r="H6" i="304"/>
  <c r="K6" i="304" s="1"/>
  <c r="I6" i="304"/>
  <c r="L6" i="304" s="1"/>
  <c r="AN6" i="281"/>
  <c r="C32" i="297"/>
  <c r="C38" i="297" s="1"/>
  <c r="C40" i="297" s="1"/>
  <c r="C42" i="297" s="1"/>
  <c r="C43" i="297" s="1"/>
  <c r="B16" i="297" s="1"/>
  <c r="C16" i="297" s="1"/>
  <c r="D16" i="297" s="1"/>
  <c r="E16" i="297" s="1"/>
  <c r="F16" i="297" s="1"/>
  <c r="G16" i="297" s="1"/>
  <c r="H16" i="297" s="1"/>
  <c r="I16" i="297" s="1"/>
  <c r="J16" i="297" s="1"/>
  <c r="K16" i="297" s="1"/>
  <c r="I20" i="296"/>
  <c r="AC150" i="281"/>
  <c r="AD76" i="281"/>
  <c r="D3" i="297"/>
  <c r="C22" i="281"/>
  <c r="C22" i="296" s="1"/>
  <c r="AL12" i="281"/>
  <c r="AL24" i="281"/>
  <c r="F14" i="281"/>
  <c r="G14" i="281" s="1"/>
  <c r="H14" i="281" s="1"/>
  <c r="C30" i="300"/>
  <c r="E30" i="300" s="1"/>
  <c r="C7" i="296"/>
  <c r="AM10" i="281"/>
  <c r="AK10" i="281"/>
  <c r="AK12" i="281"/>
  <c r="AH9" i="281"/>
  <c r="AJ9" i="281"/>
  <c r="AJ24" i="281" s="1"/>
  <c r="E10" i="296"/>
  <c r="D7" i="296"/>
  <c r="AK24" i="281"/>
  <c r="F10" i="296"/>
  <c r="C10" i="296"/>
  <c r="AI9" i="281"/>
  <c r="F10" i="281"/>
  <c r="C11" i="281"/>
  <c r="E7" i="296"/>
  <c r="F10" i="48"/>
  <c r="AM167" i="281" s="1"/>
  <c r="E28" i="300"/>
  <c r="E31" i="300"/>
  <c r="C5" i="296"/>
  <c r="AD62" i="281" s="1"/>
  <c r="H16" i="293"/>
  <c r="C21" i="293"/>
  <c r="C15" i="293" s="1"/>
  <c r="H21" i="293"/>
  <c r="H26" i="293"/>
  <c r="D15" i="293"/>
  <c r="G15" i="293"/>
  <c r="H15" i="293" s="1"/>
  <c r="C6" i="293"/>
  <c r="H6" i="293" s="1"/>
  <c r="E15" i="293"/>
  <c r="G10" i="296" l="1"/>
  <c r="C29" i="300"/>
  <c r="E29" i="300" s="1"/>
  <c r="AM13" i="281"/>
  <c r="AM17" i="281"/>
  <c r="D14" i="296"/>
  <c r="D30" i="281" s="1"/>
  <c r="E19" i="281"/>
  <c r="AL17" i="281"/>
  <c r="AL32" i="281" s="1"/>
  <c r="AL13" i="281"/>
  <c r="AL25" i="281"/>
  <c r="AE76" i="281"/>
  <c r="C9" i="297"/>
  <c r="AM14" i="281"/>
  <c r="AL14" i="281"/>
  <c r="C21" i="281"/>
  <c r="AD66" i="281" s="1"/>
  <c r="AC138" i="281" s="1"/>
  <c r="J20" i="296"/>
  <c r="D9" i="297" s="1"/>
  <c r="AD150" i="281"/>
  <c r="D5" i="297"/>
  <c r="D4" i="297" s="1"/>
  <c r="D7" i="281" s="1"/>
  <c r="E3" i="297"/>
  <c r="AI10" i="281"/>
  <c r="AI12" i="281"/>
  <c r="AM32" i="281"/>
  <c r="AN9" i="281"/>
  <c r="AH12" i="281"/>
  <c r="AH10" i="281"/>
  <c r="C15" i="281"/>
  <c r="C12" i="281"/>
  <c r="F7" i="296"/>
  <c r="G10" i="281"/>
  <c r="H10" i="296"/>
  <c r="I14" i="281"/>
  <c r="AK25" i="281"/>
  <c r="AH24" i="281"/>
  <c r="AK17" i="281"/>
  <c r="AK32" i="281" s="1"/>
  <c r="AJ12" i="281"/>
  <c r="AJ10" i="281"/>
  <c r="AI24" i="281"/>
  <c r="AJ25" i="281" s="1"/>
  <c r="R19" i="296"/>
  <c r="AC157" i="281" s="1"/>
  <c r="AD166" i="281"/>
  <c r="AD165" i="281"/>
  <c r="AD164" i="281"/>
  <c r="AD163" i="281"/>
  <c r="AD171" i="281"/>
  <c r="AD172" i="281"/>
  <c r="AD170" i="281"/>
  <c r="AD169" i="281"/>
  <c r="AD168" i="281"/>
  <c r="AD174" i="281"/>
  <c r="AD167" i="281"/>
  <c r="AC140" i="281"/>
  <c r="C8" i="296"/>
  <c r="C11" i="296" s="1"/>
  <c r="G5" i="304" s="1"/>
  <c r="AC142" i="281"/>
  <c r="C23" i="296"/>
  <c r="AD64" i="281" s="1"/>
  <c r="AK14" i="281" l="1"/>
  <c r="AJ13" i="281"/>
  <c r="E14" i="296"/>
  <c r="E30" i="281" s="1"/>
  <c r="F19" i="281"/>
  <c r="AI13" i="281"/>
  <c r="AK13" i="281"/>
  <c r="J5" i="304"/>
  <c r="J10" i="304" s="1"/>
  <c r="I5" i="304"/>
  <c r="H5" i="304"/>
  <c r="K5" i="304" s="1"/>
  <c r="K10" i="304" s="1"/>
  <c r="G10" i="304"/>
  <c r="K20" i="296"/>
  <c r="E9" i="297" s="1"/>
  <c r="AE150" i="281"/>
  <c r="AH76" i="281"/>
  <c r="D21" i="281"/>
  <c r="AE66" i="281" s="1"/>
  <c r="AD138" i="281" s="1"/>
  <c r="E5" i="297"/>
  <c r="E4" i="297" s="1"/>
  <c r="E7" i="281" s="1"/>
  <c r="F3" i="297"/>
  <c r="D8" i="281"/>
  <c r="D11" i="281"/>
  <c r="D22" i="281"/>
  <c r="D22" i="296" s="1"/>
  <c r="AD142" i="281" s="1"/>
  <c r="C20" i="281"/>
  <c r="C23" i="281" s="1"/>
  <c r="C17" i="281"/>
  <c r="C16" i="281"/>
  <c r="C32" i="300"/>
  <c r="E32" i="300" s="1"/>
  <c r="AH17" i="281"/>
  <c r="AN12" i="281"/>
  <c r="I10" i="296"/>
  <c r="J14" i="281"/>
  <c r="AI25" i="281"/>
  <c r="AN25" i="281" s="1"/>
  <c r="G7" i="296"/>
  <c r="H10" i="281"/>
  <c r="AJ14" i="281"/>
  <c r="AJ17" i="281"/>
  <c r="AJ32" i="281" s="1"/>
  <c r="AI17" i="281"/>
  <c r="AI32" i="281" s="1"/>
  <c r="AI14" i="281"/>
  <c r="AD140" i="281"/>
  <c r="D23" i="296"/>
  <c r="AE64" i="281" s="1"/>
  <c r="E5" i="296"/>
  <c r="AH62" i="281" s="1"/>
  <c r="C15" i="296"/>
  <c r="C12" i="296"/>
  <c r="AD63" i="281" s="1"/>
  <c r="AE140" i="281" l="1"/>
  <c r="F14" i="296"/>
  <c r="F30" i="281" s="1"/>
  <c r="G19" i="281"/>
  <c r="H10" i="304"/>
  <c r="I10" i="304"/>
  <c r="L5" i="304"/>
  <c r="L10" i="304" s="1"/>
  <c r="E21" i="281"/>
  <c r="AH66" i="281" s="1"/>
  <c r="AE138" i="281" s="1"/>
  <c r="AI76" i="281"/>
  <c r="AH150" i="281"/>
  <c r="L20" i="296"/>
  <c r="F9" i="297" s="1"/>
  <c r="G3" i="297"/>
  <c r="F5" i="297"/>
  <c r="F4" i="297" s="1"/>
  <c r="F7" i="281" s="1"/>
  <c r="D15" i="281"/>
  <c r="D12" i="281"/>
  <c r="N11" i="281"/>
  <c r="E8" i="281"/>
  <c r="E22" i="281"/>
  <c r="E22" i="296" s="1"/>
  <c r="AE142" i="281" s="1"/>
  <c r="E11" i="281"/>
  <c r="J10" i="296"/>
  <c r="K14" i="281"/>
  <c r="AH32" i="281"/>
  <c r="AN17" i="281"/>
  <c r="AC137" i="281"/>
  <c r="AD65" i="281"/>
  <c r="C17" i="296"/>
  <c r="C18" i="296" s="1"/>
  <c r="H7" i="296"/>
  <c r="I10" i="281"/>
  <c r="E23" i="296"/>
  <c r="AH64" i="281" s="1"/>
  <c r="AH140" i="281" l="1"/>
  <c r="H19" i="281"/>
  <c r="G14" i="296"/>
  <c r="G30" i="281" s="1"/>
  <c r="AI150" i="281"/>
  <c r="AJ76" i="281"/>
  <c r="F21" i="281"/>
  <c r="AI66" i="281" s="1"/>
  <c r="AH138" i="281" s="1"/>
  <c r="N15" i="281"/>
  <c r="D16" i="281"/>
  <c r="D17" i="281"/>
  <c r="D20" i="281"/>
  <c r="D23" i="281" s="1"/>
  <c r="E15" i="281"/>
  <c r="E12" i="281"/>
  <c r="F8" i="281"/>
  <c r="F22" i="281"/>
  <c r="F22" i="296" s="1"/>
  <c r="AH142" i="281" s="1"/>
  <c r="F11" i="281"/>
  <c r="H3" i="297"/>
  <c r="G5" i="297"/>
  <c r="G4" i="297" s="1"/>
  <c r="G7" i="281" s="1"/>
  <c r="L14" i="281"/>
  <c r="L10" i="296" s="1"/>
  <c r="K10" i="296"/>
  <c r="I7" i="296"/>
  <c r="J10" i="281"/>
  <c r="C24" i="296"/>
  <c r="AC139" i="281"/>
  <c r="AC143" i="281" s="1"/>
  <c r="F23" i="296"/>
  <c r="AI64" i="281" s="1"/>
  <c r="AI140" i="281"/>
  <c r="I19" i="281" l="1"/>
  <c r="H14" i="296"/>
  <c r="H30" i="281" s="1"/>
  <c r="G21" i="281"/>
  <c r="AJ66" i="281" s="1"/>
  <c r="AI138" i="281" s="1"/>
  <c r="E17" i="281"/>
  <c r="E20" i="281"/>
  <c r="E23" i="281" s="1"/>
  <c r="E16" i="281"/>
  <c r="I3" i="297"/>
  <c r="H5" i="297"/>
  <c r="H4" i="297" s="1"/>
  <c r="H7" i="281" s="1"/>
  <c r="F15" i="281"/>
  <c r="F12" i="281"/>
  <c r="O7" i="281"/>
  <c r="G22" i="281"/>
  <c r="G22" i="296" s="1"/>
  <c r="G8" i="281"/>
  <c r="G11" i="281"/>
  <c r="C26" i="296"/>
  <c r="AD72" i="281"/>
  <c r="AD70" i="281"/>
  <c r="J7" i="296"/>
  <c r="K10" i="281"/>
  <c r="AC163" i="281"/>
  <c r="AE163" i="281" s="1"/>
  <c r="G23" i="296"/>
  <c r="AJ64" i="281" s="1"/>
  <c r="AC149" i="281" l="1"/>
  <c r="J19" i="281"/>
  <c r="I14" i="296"/>
  <c r="I30" i="281" s="1"/>
  <c r="H21" i="281"/>
  <c r="AK66" i="281" s="1"/>
  <c r="AC147" i="281" s="1"/>
  <c r="F20" i="281"/>
  <c r="F23" i="281" s="1"/>
  <c r="F16" i="281"/>
  <c r="F17" i="281"/>
  <c r="AI142" i="281"/>
  <c r="H8" i="281"/>
  <c r="H4" i="296"/>
  <c r="H22" i="281"/>
  <c r="H22" i="296" s="1"/>
  <c r="AC151" i="281" s="1"/>
  <c r="H11" i="281"/>
  <c r="I5" i="297"/>
  <c r="I4" i="297" s="1"/>
  <c r="I7" i="281" s="1"/>
  <c r="J3" i="297"/>
  <c r="G12" i="281"/>
  <c r="G15" i="281"/>
  <c r="O11" i="281"/>
  <c r="L10" i="281"/>
  <c r="K7" i="296"/>
  <c r="H23" i="296"/>
  <c r="AD149" i="281" l="1"/>
  <c r="J14" i="296"/>
  <c r="J30" i="281" s="1"/>
  <c r="K19" i="281"/>
  <c r="I21" i="281"/>
  <c r="AL66" i="281" s="1"/>
  <c r="AD147" i="281" s="1"/>
  <c r="I8" i="281"/>
  <c r="I22" i="281"/>
  <c r="I22" i="296" s="1"/>
  <c r="AD151" i="281" s="1"/>
  <c r="I4" i="296"/>
  <c r="I11" i="281"/>
  <c r="G17" i="281"/>
  <c r="G16" i="281"/>
  <c r="G20" i="281"/>
  <c r="G23" i="281" s="1"/>
  <c r="O15" i="281"/>
  <c r="H12" i="281"/>
  <c r="H15" i="281"/>
  <c r="AK64" i="281"/>
  <c r="J5" i="297"/>
  <c r="J4" i="297" s="1"/>
  <c r="J7" i="281" s="1"/>
  <c r="K3" i="297"/>
  <c r="L7" i="296"/>
  <c r="P10" i="281"/>
  <c r="I23" i="296"/>
  <c r="AE149" i="281" l="1"/>
  <c r="K14" i="296"/>
  <c r="K30" i="281" s="1"/>
  <c r="L19" i="281"/>
  <c r="AL64" i="281"/>
  <c r="J21" i="281"/>
  <c r="AM66" i="281" s="1"/>
  <c r="AE147" i="281" s="1"/>
  <c r="H17" i="281"/>
  <c r="H20" i="281"/>
  <c r="H23" i="281" s="1"/>
  <c r="H16" i="281"/>
  <c r="K5" i="297"/>
  <c r="K4" i="297" s="1"/>
  <c r="K7" i="281" s="1"/>
  <c r="L3" i="297"/>
  <c r="L5" i="297" s="1"/>
  <c r="L4" i="297" s="1"/>
  <c r="L7" i="281" s="1"/>
  <c r="I12" i="281"/>
  <c r="I15" i="281"/>
  <c r="J4" i="296"/>
  <c r="J8" i="281"/>
  <c r="J22" i="281"/>
  <c r="J22" i="296" s="1"/>
  <c r="AE151" i="281" s="1"/>
  <c r="J11" i="281"/>
  <c r="J23" i="296"/>
  <c r="C4" i="288"/>
  <c r="C5" i="288"/>
  <c r="C6" i="288"/>
  <c r="C7" i="288"/>
  <c r="C3" i="288"/>
  <c r="B4" i="288"/>
  <c r="B5" i="288"/>
  <c r="B6" i="288"/>
  <c r="B7" i="288"/>
  <c r="B3" i="288"/>
  <c r="M5" i="288"/>
  <c r="M6" i="288"/>
  <c r="M7" i="288"/>
  <c r="M8" i="288"/>
  <c r="M9" i="288"/>
  <c r="M4" i="288"/>
  <c r="L5" i="288"/>
  <c r="L6" i="288"/>
  <c r="L7" i="288"/>
  <c r="L8" i="288"/>
  <c r="L9" i="288"/>
  <c r="L4" i="288"/>
  <c r="B3" i="283"/>
  <c r="AH149" i="281" l="1"/>
  <c r="P19" i="281"/>
  <c r="L14" i="296"/>
  <c r="L30" i="281" s="1"/>
  <c r="K21" i="281"/>
  <c r="AN66" i="281" s="1"/>
  <c r="AH147" i="281" s="1"/>
  <c r="L21" i="281"/>
  <c r="AO66" i="281" s="1"/>
  <c r="AI147" i="281" s="1"/>
  <c r="AM64" i="281"/>
  <c r="L4" i="296"/>
  <c r="P7" i="281"/>
  <c r="L8" i="281"/>
  <c r="L22" i="281"/>
  <c r="L22" i="296" s="1"/>
  <c r="AI151" i="281" s="1"/>
  <c r="L11" i="281"/>
  <c r="I20" i="281"/>
  <c r="I23" i="281" s="1"/>
  <c r="I17" i="281"/>
  <c r="I16" i="281"/>
  <c r="K4" i="296"/>
  <c r="K22" i="281"/>
  <c r="K22" i="296" s="1"/>
  <c r="AH151" i="281" s="1"/>
  <c r="K8" i="281"/>
  <c r="K11" i="281"/>
  <c r="J15" i="281"/>
  <c r="J12" i="281"/>
  <c r="K23" i="296"/>
  <c r="B11" i="282"/>
  <c r="AI149" i="281" l="1"/>
  <c r="AN64" i="281"/>
  <c r="J16" i="281"/>
  <c r="J20" i="281"/>
  <c r="J23" i="281" s="1"/>
  <c r="J17" i="281"/>
  <c r="K12" i="281"/>
  <c r="K15" i="281"/>
  <c r="L15" i="281"/>
  <c r="AM166" i="281" s="1"/>
  <c r="L12" i="281"/>
  <c r="P11" i="281"/>
  <c r="L23" i="296"/>
  <c r="AO64" i="281" s="1"/>
  <c r="AM168" i="281" l="1"/>
  <c r="AM169" i="281"/>
  <c r="L16" i="281"/>
  <c r="L20" i="281"/>
  <c r="L23" i="281" s="1"/>
  <c r="P15" i="281"/>
  <c r="L17" i="281"/>
  <c r="K16" i="281"/>
  <c r="K17" i="281"/>
  <c r="K20" i="281"/>
  <c r="K23" i="281" s="1"/>
  <c r="K5" i="296"/>
  <c r="AN62" i="281" s="1"/>
  <c r="J5" i="296"/>
  <c r="AM62" i="281" s="1"/>
  <c r="J8" i="296"/>
  <c r="J11" i="296" s="1"/>
  <c r="I8" i="296"/>
  <c r="I11" i="296" s="1"/>
  <c r="I15" i="296" l="1"/>
  <c r="I12" i="296"/>
  <c r="AL63" i="281" s="1"/>
  <c r="J15" i="296"/>
  <c r="J12" i="296"/>
  <c r="AM63" i="281" s="1"/>
  <c r="K8" i="296"/>
  <c r="K11" i="296" s="1"/>
  <c r="AE146" i="281" l="1"/>
  <c r="J17" i="296"/>
  <c r="J18" i="296" s="1"/>
  <c r="AE148" i="281" s="1"/>
  <c r="AE152" i="281" s="1"/>
  <c r="AC170" i="281" s="1"/>
  <c r="AE170" i="281" s="1"/>
  <c r="AM65" i="281"/>
  <c r="AL65" i="281"/>
  <c r="I17" i="296"/>
  <c r="I18" i="296" s="1"/>
  <c r="AD148" i="281" s="1"/>
  <c r="AD152" i="281" s="1"/>
  <c r="AC169" i="281" s="1"/>
  <c r="AE169" i="281" s="1"/>
  <c r="AD146" i="281"/>
  <c r="K15" i="296"/>
  <c r="K12" i="296"/>
  <c r="AN63" i="281" s="1"/>
  <c r="L5" i="296"/>
  <c r="AO62" i="281" s="1"/>
  <c r="AH146" i="281" l="1"/>
  <c r="K17" i="296"/>
  <c r="K18" i="296" s="1"/>
  <c r="AH148" i="281" s="1"/>
  <c r="AH152" i="281" s="1"/>
  <c r="AC171" i="281" s="1"/>
  <c r="AE171" i="281" s="1"/>
  <c r="AN65" i="281"/>
  <c r="L8" i="296"/>
  <c r="L11" i="296" s="1"/>
  <c r="L15" i="296" l="1"/>
  <c r="L12" i="296"/>
  <c r="AO63" i="281" s="1"/>
  <c r="L17" i="296" l="1"/>
  <c r="L18" i="296" s="1"/>
  <c r="AO65" i="281"/>
  <c r="AI146" i="281"/>
  <c r="L24" i="296" l="1"/>
  <c r="R22" i="296" s="1"/>
  <c r="AI148" i="281"/>
  <c r="AI152" i="281" s="1"/>
  <c r="AC172" i="281" s="1"/>
  <c r="AE172" i="281" s="1"/>
  <c r="I24" i="296"/>
  <c r="L26" i="296" l="1"/>
  <c r="AE77" i="281"/>
  <c r="AE75" i="281"/>
  <c r="AC155" i="281"/>
  <c r="AJ75" i="281"/>
  <c r="AJ77" i="281"/>
  <c r="R24" i="296"/>
  <c r="AD185" i="281"/>
  <c r="I26" i="296"/>
  <c r="J24" i="296"/>
  <c r="AH77" i="281" l="1"/>
  <c r="AH75" i="281"/>
  <c r="AC174" i="281"/>
  <c r="AE174" i="281" s="1"/>
  <c r="AD187" i="281"/>
  <c r="AC158" i="281"/>
  <c r="R27" i="296"/>
  <c r="AD190" i="281" s="1"/>
  <c r="J26" i="296"/>
  <c r="K24" i="296"/>
  <c r="D5" i="296"/>
  <c r="AE62" i="281" s="1"/>
  <c r="D8" i="296"/>
  <c r="D11" i="296" s="1"/>
  <c r="F5" i="296"/>
  <c r="AI62" i="281" s="1"/>
  <c r="F8" i="296"/>
  <c r="F11" i="296" s="1"/>
  <c r="E8" i="296"/>
  <c r="E11" i="296" s="1"/>
  <c r="G5" i="296"/>
  <c r="AJ62" i="281" s="1"/>
  <c r="G8" i="296"/>
  <c r="G11" i="296" s="1"/>
  <c r="AI77" i="281" l="1"/>
  <c r="AI75" i="281"/>
  <c r="K26" i="296"/>
  <c r="G15" i="296"/>
  <c r="G12" i="296"/>
  <c r="AJ63" i="281" s="1"/>
  <c r="E15" i="296"/>
  <c r="E12" i="296"/>
  <c r="AH63" i="281" s="1"/>
  <c r="D15" i="296"/>
  <c r="D12" i="296"/>
  <c r="AE63" i="281" s="1"/>
  <c r="F15" i="296"/>
  <c r="F12" i="296"/>
  <c r="AI63" i="281" s="1"/>
  <c r="I5" i="296"/>
  <c r="AL62" i="281" s="1"/>
  <c r="H5" i="296"/>
  <c r="AK62" i="281" s="1"/>
  <c r="H8" i="296"/>
  <c r="H11" i="296" s="1"/>
  <c r="AH137" i="281" l="1"/>
  <c r="AI65" i="281"/>
  <c r="F17" i="296"/>
  <c r="F18" i="296" s="1"/>
  <c r="AE137" i="281"/>
  <c r="AH65" i="281"/>
  <c r="E17" i="296"/>
  <c r="E18" i="296" s="1"/>
  <c r="AD137" i="281"/>
  <c r="D17" i="296"/>
  <c r="D18" i="296" s="1"/>
  <c r="AE65" i="281"/>
  <c r="AI137" i="281"/>
  <c r="AJ65" i="281"/>
  <c r="G17" i="296"/>
  <c r="G18" i="296" s="1"/>
  <c r="H15" i="296"/>
  <c r="H12" i="296"/>
  <c r="AK63" i="281" s="1"/>
  <c r="AK65" i="281" l="1"/>
  <c r="H17" i="296"/>
  <c r="H18" i="296" s="1"/>
  <c r="AC146" i="281"/>
  <c r="G24" i="296"/>
  <c r="AI139" i="281"/>
  <c r="AI143" i="281" s="1"/>
  <c r="AC167" i="281" s="1"/>
  <c r="AE167" i="281" s="1"/>
  <c r="E24" i="296"/>
  <c r="AE139" i="281"/>
  <c r="AE143" i="281" s="1"/>
  <c r="AC165" i="281" s="1"/>
  <c r="AE165" i="281" s="1"/>
  <c r="D24" i="296"/>
  <c r="AD139" i="281"/>
  <c r="AD143" i="281" s="1"/>
  <c r="AC164" i="281" s="1"/>
  <c r="AE164" i="281" s="1"/>
  <c r="F24" i="296"/>
  <c r="AH139" i="281"/>
  <c r="AH143" i="281" s="1"/>
  <c r="AC166" i="281" s="1"/>
  <c r="AE166" i="281" s="1"/>
  <c r="H24" i="296" l="1"/>
  <c r="R20" i="296" s="1"/>
  <c r="I198" i="281" s="1"/>
  <c r="AC148" i="281"/>
  <c r="AC152" i="281" s="1"/>
  <c r="AC168" i="281" s="1"/>
  <c r="AE168" i="281" s="1"/>
  <c r="AE173" i="281" s="1"/>
  <c r="AE175" i="281" s="1"/>
  <c r="AI72" i="281"/>
  <c r="AI70" i="281"/>
  <c r="AE70" i="281"/>
  <c r="AE72" i="281"/>
  <c r="AH70" i="281"/>
  <c r="AH72" i="281"/>
  <c r="AJ72" i="281"/>
  <c r="AJ70" i="281"/>
  <c r="D26" i="296"/>
  <c r="E26" i="296"/>
  <c r="G26" i="296"/>
  <c r="F26" i="296"/>
  <c r="H26" i="296" l="1"/>
  <c r="AD75" i="281"/>
  <c r="AD77" i="281"/>
  <c r="R31" i="296"/>
  <c r="AD183" i="281"/>
  <c r="AD193" i="281" l="1"/>
  <c r="R37" i="296"/>
  <c r="E12" i="48"/>
  <c r="R39" i="296" l="1"/>
  <c r="C63" i="296" s="1"/>
  <c r="AD198" i="281"/>
  <c r="AD200" i="281" s="1"/>
  <c r="D33" i="296" l="1"/>
  <c r="C59" i="296"/>
  <c r="C55" i="29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4" authorId="0" shapeId="0" xr:uid="{9F6913A1-8A26-2C47-A6DB-24BD40389A6F}">
      <text>
        <r>
          <rPr>
            <b/>
            <sz val="10"/>
            <color rgb="FF000000"/>
            <rFont val="Tahoma"/>
            <family val="2"/>
          </rPr>
          <t>Author:</t>
        </r>
        <r>
          <rPr>
            <sz val="10"/>
            <color rgb="FF000000"/>
            <rFont val="Tahoma"/>
            <family val="2"/>
          </rPr>
          <t xml:space="preserve">
Revenue not from UTI or SIP is from intersegment elims, etc 
</t>
        </r>
      </text>
    </comment>
    <comment ref="A24" authorId="0" shapeId="0" xr:uid="{52702E10-0926-C845-B1F8-EB3D919A69F4}">
      <text>
        <r>
          <rPr>
            <b/>
            <sz val="10"/>
            <color rgb="FF000000"/>
            <rFont val="Tahoma"/>
            <family val="2"/>
          </rPr>
          <t>Author:</t>
        </r>
        <r>
          <rPr>
            <sz val="10"/>
            <color rgb="FF000000"/>
            <rFont val="Tahoma"/>
            <family val="2"/>
          </rPr>
          <t xml:space="preserve">
Total ebit including other companies and intersegment 
</t>
        </r>
      </text>
    </comment>
    <comment ref="A25" authorId="0" shapeId="0" xr:uid="{D40CA2CC-948B-5243-B406-EC7D24ED8418}">
      <text>
        <r>
          <rPr>
            <b/>
            <sz val="10"/>
            <color rgb="FF000000"/>
            <rFont val="Tahoma"/>
            <family val="2"/>
          </rPr>
          <t>Author:</t>
        </r>
        <r>
          <rPr>
            <sz val="10"/>
            <color rgb="FF000000"/>
            <rFont val="Tahoma"/>
            <family val="2"/>
          </rPr>
          <t xml:space="preserve">
Includes Parent company and other 
</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3">
    <bk>
      <extLst>
        <ext uri="{3e2802c4-a4d2-4d8b-9148-e3be6c30e623}">
          <xlrd:rvb i="2"/>
        </ext>
      </extLst>
    </bk>
    <bk>
      <extLst>
        <ext uri="{3e2802c4-a4d2-4d8b-9148-e3be6c30e623}">
          <xlrd:rvb i="5"/>
        </ext>
      </extLst>
    </bk>
    <bk>
      <extLst>
        <ext uri="{3e2802c4-a4d2-4d8b-9148-e3be6c30e623}">
          <xlrd:rvb i="8"/>
        </ext>
      </extLst>
    </bk>
  </futureMetadata>
  <cellMetadata count="1">
    <bk>
      <rc t="1" v="0"/>
    </bk>
  </cellMetadata>
  <valueMetadata count="3">
    <bk>
      <rc t="2" v="0"/>
    </bk>
    <bk>
      <rc t="2" v="1"/>
    </bk>
    <bk>
      <rc t="2" v="2"/>
    </bk>
  </valueMetadata>
</metadata>
</file>

<file path=xl/sharedStrings.xml><?xml version="1.0" encoding="utf-8"?>
<sst xmlns="http://schemas.openxmlformats.org/spreadsheetml/2006/main" count="3789" uniqueCount="1006">
  <si>
    <t>AwABTAVMT0NBTAFI/////wFQ9QIAAClDSVEuVFNFOjc5NzQuSVFfQ0xPU0VQUklDRS4yMDE4LTAxLTMwLlVTRAEAAACkXQ0AAgAAAAo0MzEuNzIwMDk2AOcQwSddQNcIcWgDKF1A1wgpQ0lRLlRTRTo3OTc0LklRX0NMT1NFUFJJQ0UuMjAxOS0wMi0xMi5VU0QBAAAApF0NAAIAAAAKMjY0LjU1ODE1NwDnEMEnXUDXCAMGAShdQNcIKUNJUS5UU0U6Nzk3NC5JUV9DTE9TRVBSSUNFLjIwMTctMDQtMTguVVNEAQAAAKRdDQACAAAACjI0NS42ODkwNjYA5xDBJ11A1whrQfwnXUDXCClDSVEuVFNFOjc5NzQuSVFfQ0xPU0VQUklDRS4yMDE5LTA5LTEwLlVTRAEAAACkXQ0AAgAAAAozODguMzgwMzA4AKeZyiddQNcIcWgDKF1A1wgpQ0lRLlRTRTo3OTc0LklRX0NMT1NFUFJJQ0UuMjAxOC0wNy0zMS5VU0QBAAAApF0NAAIAAAAKMzI4LjQ5MjkxMQDnEMEnXUDXCAMGAShdQNcIPUNJUS5LT1NFOkEyNTEyNzAuSVFfU0hPUlRfQlVTSU5FU1NfREVTQ1JJUFRJT04uMjAxOS0wOS0yMy5VU0QBAAAAWe4vCQMAAACMAU5ldG1hcmJsZSBDb3Jwb3JhdGlvbiBkZXZlbG9wcyBhbmQgcHVibGlzaGVzIG9ubGluZSBnYW1lcyBmb3IgdGhlIFBDIGFuZCBtb2JpbGUgZ2FtZSBwdWJsaXNoaW5nIGluZHVzdHJ5IGluIFNvdXRoIEtvcmVhIGFuZCBpbnRlcm5hdGlvbmFsbHkuAOcQwSddQNcIYsoFKF1A1wgsQ0lRLlRTRTo3OTc0LklR</t>
  </si>
  <si>
    <t>X1RFVl9FQklUREEuSVFfTFRNLjIwMTktMDYtMjUBAAAApF0NAAIAAAAIMTMuMDIyMzkBBwAAAAUAAAABMQEAAAAKMTk1Njc0ODA4NgMAAAABMAIAAAAGMTAwMDMwBAAAAAEwBwAAAAk2LzI1LzIwMTkIAAAACTYvMjUvMjAxOaeZyiddQNcIt6P+J11A1wg3Q0lRLlRTRTozNjU5LklRX0VGRkVDVF9UQVhfUkFURS5JUV9MVE0uMjAxOS0wOS0yMy4uLlVTRAEAAACeH4IIAgAAAAcxNi4yNjYxAQgAAAAFAAAAATEBAAAACjE5NzU3OTI0MzcDAAAAAjc5AgAAAAQ0Mzc2BAAAAAEwBwAAAAk5LzIzLzIwMTkIAAAACTYvMzAvMjAxOQkAAAABMKeZyiddQNcIa0H8J11A1wg0Q0lRLk5BU0RBUUdTOkVBLklRX1RPVEFMX1JFVi5DWTIwMTcuMjAxOS0wOS0yMy4uLlVTRAEAAAA7bQAAAgAAAAQ1MDk1AQgAAAAFAAAAATEBAAAACjE5NDM5MTUwMjEDAAAAAzE2MAIAAAACMjgEAAAAATAHAAAACTkvMjMvMjAxOQgAAAAKMTIvMzEvMjAxNwkAAAABMOcQwSddQNcIAwYBKF1A1wg3Q0lRLk5BU0RBUUdTOlRUV08uSVFfRUJJVERBX0VTVC5DWTIwMjAuMjAxOS0wOS0yMy4uLlVTRAEAAABRqgUAAgAAAAg3MjguNjM0NwEOAAAABQAAAAIxMQEAAAABMAIAAAAHMTExNzE5OAMAAAAGMTAwMTg3BAAAAAEyBgAAAAEwBwAAAAMxNjAIAAAAATAJAAAAATEKAAAAATALAAAACzExNjExMzc3MTMxDAAAAAE3DQAAAAk5LzI0LzIwMTkQAAAA</t>
  </si>
  <si>
    <t>CTkvMjMvMjAxOecQwSddQNcIcWgDKF1A1wgoQ0lRLlRTRTo5Njg0LklRX01BUktFVENBUC4yMDE5LTA5LTIzLlVTRAEAAACpfQ0AAgAAAAk1MTc5LjY4MTcBBgAAAAUAAAABMQEAAAAKMTk3NTc4NjYwOQMAAAADMTYwAgAAAAYxMDAwNTQEAAAAATAHAAAACTkvMjAvMjAxOecQwSddQNcIt6P+J11A1wgpQ0lRLlRTRTo3OTc0LklRX0NMT1NFUFJJQ0UuMjAxOS0wOC0xMy5VU0QBAAAApF0NAAIAAAAKMzYwLjk0ODc1NwCnmconXUDXCHFoAyhdQNcILENJUS5UU0U6Nzk3NC5JUV9URVZfRUJJVERBLklRX0xUTS4yMDE3LTEyLTEyAQAAAKRdDQACAAAACTQzLjc0MzQ5MQEHAAAABQAAAAExAQAAAAoxODY1NzkyMzYzAwAAAAEwAgAAAAYxMDAwMzAEAAAAATAHAAAACjEyLzEyLzIwMTcIAAAACjEyLzEyLzIwMTfnEMEnXUDXCLej/iddQNcIMUNJUS5UU0U6Nzk3NC5JUV9UT1RBTF9SRVYuSVFfTFRNLjIwMTktMDktMjMuLi5VU0QBAAAApF0NAAIAAAAMMTExNzUuMTU0NDY5AQgAAAAFAAAAATEBAAAACjE5NzU3OTI0NzADAAAAAzE2MAIAAAACMjgEAAAAATAHAAAACTkvMjMvMjAxOQgAAAAJNi8zMC8yMDE5CQAAAAEwp5nKJ11A1wgDBgEoXUDXCClDSVEuVFNFOjc5NzQuSVFfQ0xPU0VQUklDRS4yMDE3LTA4LTA4LlVTRAEAAACkXQ0AAgAAAAozNDQuNzY4NDM2AOcQwSddQNcIa0H8J11A1wgpQ0lRLlRTRTo3OTc0</t>
  </si>
  <si>
    <t>LklRX0NMT1NFUFJJQ0UuMjAxOC0wMi0wNi5VU0QBAAAApF0NAAIAAAAKNDA3LjQ1ODMzMgDnEMEnXUDXCLej/iddQNcILENJUS5FTlhUUEE6VUJJLklRX1RFVi40NDkyNi4yMDE5LTA5LTIzLi4uVVNEAQAAABl2DQACAAAACzg3NjkuNjU5MTA4AQYAAAAFAAAAATEBAAAACjE5Njg0NjI4NjkDAAAAAzE2MAIAAAAGMTAwMDYwBAAAAAEwBwAAAAk5LzIzLzIwMTnnEMEnXUDXCHFoAyhdQNcIKkNJUS5OQVNEQVFHUzpBVFZJLklRX1RFVi4uMjAxOS0wOS0yMy4uLlVTRAEAAAAXbUAAAgAAAAwzOTg0OS40NjU0MjkBBgAAAAUAAAABMQEAAAAKMTk3NTAzODc5OQMAAAADMTYwAgAAAAYxMDAwNjAEAAAAATAHAAAACTkvMjMvMjAxOecQwSddQNcIcWgDKF1A1wgqQ0lRLlRTRTo5Njg0LklRX0dQLkNZMjAxOC4yMDE5LTA5LTIzLi4uVVNEAQAAAKl9DQACAAAACjk4NC4zNjg1OTIBCAAAAAUAAAABMQEAAAAKMTk0NDM4ODIyNAMAAAADMTYwAgAAAAIxMAQAAAABMAcAAAAJOS8yMy8yMDE5CAAAAAoxMi8zMS8yMDE4CQAAAAEw5xDBJ11A1wgDBgEoXUDXCCVDSVEuVFNFOjk2ODQuSVFfVEVWLi4yMDE5LTA5LTIzLi4uVVNEAQAAAKl9DQACAAAACzQxMzAuNjA2NzM2AQYAAAAFAAAAATEBAAAACjE5NzU3ODY2MDkDAAAAAzE2MAIAAAAGMTAwMDYwBAAAAAEwBwAAAAk5LzIwLzIwMTnnEMEnXUDXCAMGAShdQNcILkNJUS5U</t>
  </si>
  <si>
    <t>U0U6MzY1OS5JUV9FQklUREEuQ1kyMDE4LjIwMTktMDktMjMuLi5VU0QBAAAAnh+CCAIAAAALMTAzNC4yMTU5MjQBCAAAAAUAAAABMQEAAAAKMTk1MTg2NzkyOQMAAAADMTYwAgAAAAQ0MDUxBAAAAAEwBwAAAAk5LzIzLzIwMTkIAAAACjEyLzMxLzIwMTgJAAAAATDnEMEnXUDXCHFoAyhdQNcILENJUS5UU0U6Nzk3NC5JUV9URVZfRUJJVERBLklRX0xUTS4yMDE5LTA4LTA2AQAAAKRdDQACAAAACTE0LjE3ODU0MgEHAAAABQAAAAExAQAAAAoxOTcyODcwMjA4AwAAAAEwAgAAAAYxMDAwMzAEAAAAATAHAAAACDgvNi8yMDE5CAAAAAg4LzYvMjAxOaeZyiddQNcIa0H8J11A1wg1Q0lRLk5BU0RBUUdTOkVBLklRX0VCSVREQV9FU1QuQ1kyMDE5LjIwMTktMDktMjMuLi5VU0QBAAAAO20AAAIAAAAJMTgxNS42NzYzAQ4AAAAFAAAAAjExAQAAAAEwAgAAAAc3ODc1MzYxAwAAAAYxMDAxODcEAAAAATIGAAAAATAHAAAAAzE2MAgAAAABMAkAAAABMQoAAAABMAsAAAALMTE1NDQ1MTEyNTQMAAAAATcNAAAACTkvMjQvMjAxORAAAAAJOS8yMy8yMDE55xDBJ11A1wgDBgEoXUDXCDJDSVEuVFNFOjM2NTkuSVFfRUJJVERBX0VTVC5DWTIwMjAuMjAxOS0wOS0yMy4uLlVTRAEAAACeH4IIAgAAABAxMTE0LjQ3NjAxNzIxMTc0AQ4AAAAFAAAAAjExAQAAAAEwAgAAAAoxMDAxNDIyODI0AwAAAAYxMDAxODcEAAAAATMGAAAAATAH</t>
  </si>
  <si>
    <t>AAAAAzE2MAgAAAABMAkAAAABMQoAAAABMAsAAAALMTE2MDM0NDcwNTEMAAAAATcNAAAACTkvMjQvMjAxORAAAAAJOS8yMy8yMDE55xDBJ11A1whrQfwnXUDXCCxDSVEuVFNFOjc5NzQuSVFfVEVWX0VCSVREQS5JUV9MVE0uMjAxOC0wNS0yOQEAAACkXQ0AAgAAAAkyMC44Njg3MjQBBwAAAAUAAAABMQEAAAAKMTg4NDg2NDk2NAMAAAABMAIAAAAGMTAwMDMwBAAAAAEwBwAAAAk1LzI5LzIwMTgIAAAACTUvMjkvMjAxOOcQwSddQNcIt6P+J11A1wgsQ0lRLlRTRTo3OTc0LklRX1RFVl9FQklUREEuSVFfTFRNLjIwMTctMDItMjgBAAAApF0NAAIAAAAJNDEuOTM3MTMxAQcAAAAFAAAAATEBAAAACjE4Mjc3Njc3OTcDAAAAATACAAAABjEwMDAzMAQAAAABMAcAAAAJMi8yOC8yMDE3CAAAAAkyLzI4LzIwMTfnEMEnXUDXCGLKBShdQNcILENJUS5UU0U6Nzk3NC5JUV9URVZfRUJJVERBLklRX0xUTS4yMDE5LTA5LTE3AQAAAKRdDQACAAAACTE1LjUxMzU0NgEHAAAABQAAAAExAQAAAAoxOTc1NzkyNDcwAwAAAAEwAgAAAAYxMDAwMzAEAAAAATAHAAAACTkvMTcvMjAxOQgAAAAJOS8xNy8yMDE5p5nKJ11A1wi3o/4nXUDXCCxDSVEuVFNFOjc5NzQuSVFfVEVWX0VCSVREQS5JUV9MVE0uMjAxNi0wOS0yMAEAAACkXQ0AAgAAAAk2NS42NjE0NzYBBwAAAAUAAAABMQEAAAAKMTgwMjc3Njc3NQMAAAABMAIAAAAGMTAwMDMw</t>
  </si>
  <si>
    <t>BAAAAAEwBwAAAAk5LzIwLzIwMTYIAAAACTkvMjAvMjAxNucQwSddQNcIAwYBKF1A1wg2Q0lRLlRTRTo3OTc0LklRX0RJTFVUX0VQU19FWENMLklRX0xUTS4yMDE5LTA5LTIzLi4uVVNEAQAAAKRdDQACAAAACTEzLjkzNjA5MwEIAAAABQAAAAExAQAAAAoxOTc1NzkyNDcwAwAAAAMxNjACAAAAAzE0MgQAAAABMAcAAAAJOS8yMy8yMDE5CAAAAAk2LzMwLzIwMTkJAAAAATDnEMEnXUDXCLej/iddQNcILUNJUS5OQVNEQVFHUzpFQS5JUV9URVYuNDI3MzUuMjAxOS0wOS0yMy4uLlVTRAEAAAA7bQAAAgAAAAoyMTQ5MC42MTc2AQYAAAAFAAAAATEBAAAACjE4MTcxMjY1NjADAAAAAzE2MAIAAAAGMTAwMDYwBAAAAAEwBwAAAAoxMi8zMS8yMDE25xDBJ11A1wi3o/4nXUDXCCxDSVEuVFNFOjc5NzQuSVFfVEVWX0VCSVREQS5JUV9MVE0uMjAxNy0wNC0yNQEAAACkXQ0AAgAAAAk1My45NDU4ODUBBwAAAAUAAAABMQEAAAAKMTgyNzc2Nzc5NwMAAAABMAIAAAAGMTAwMDMwBAAAAAEwBwAAAAk0LzI1LzIwMTcIAAAACTQvMjUvMjAxN+cQwSddQNcIcWgDKF1A1wgzQ0lRLk5BU0RBUUdTOkFUVkkuSVFfRUJJVERBLkNZMjAxNS4yMDE5LTA5LTIzLi4uVVNEAQAAABdtQAACAAAABDE0MTkBCAAAAAUAAAABMQEAAAAKMTg3Njc1NDg3NwMAAAADMTYwAgAAAAQ0MDUxBAAAAAEwBwAAAAk5LzIzLzIwMTkIAAAACjEyLzMxLzIw</t>
  </si>
  <si>
    <t>MTUJAAAAATDnEMEnXUDXCLej/iddQNcIKUNJUS5UU0U6Nzk3NC5JUV9DTE9TRVBSSUNFLjIwMTYtMDEtMDUuVVNEAQAAAKRdDQACAAAACjEzNy43ODkxNTgA5xDBJ11A1whxaAMoXUDXCClDSVEuVFNFOjc5NzQuSVFfQ0xPU0VQUklDRS4yMDE5LTA0LTAyLlVTRAEAAACkXQ0AAgAAAAoyODcuNTQ5NDE1AOcQwSddQNcIt6P+J11A1wgsQ0lRLlRTRTo3OTc0LklRX1RFVl9FQklUREEuSVFfTFRNLjIwMTgtMDYtMjYBAAAApF0NAAIAAAAJMTcuMDA3NjY5AQcAAAAFAAAAATEBAAAACjE4ODQ4NjQ5NjQDAAAAATACAAAABjEwMDAzMAQAAAABMAcAAAAJNi8yNi8yMDE4CAAAAAk2LzI2LzIwMTjnEMEnXUDXCLej/iddQNcIKUNJUS5UU0U6Nzk3NC5JUV9DTE9TRVBSSUNFLjIwMTktMDgtMjAuVVNEAQAAAKRdDQACAAAACjM3Ni4xMDgwODQAp5nKJ11A1wi3o/4nXUDXCDhDSVEuTkFTREFRR1M6QVRWSS5JUV9SRVZFTlVFX0VTVC5DWTIwMjEuMjAxOS0wOS0yMy4uLlVTRAEAAAAXbUAAAgAAAAo3NjA2LjE4MDU0AQ4AAAAFAAAAAjExAQAAAAEwAgAAAAoxMDAxMzQ2MjczAwAAAAYxMDAxODAEAAAAATIGAAAAATAHAAAAAzE2MAgAAAABMAkAAAABMQoAAAABMAsAAAALMTE2MTAwMTIzODIMAAAAATcNAAAACTkvMjQvMjAxORAAAAAJOS8yMy8yMDE55xDBJ11A1wi3o/4nXUDXCClDSVEuVFNFOjc5NzQuSVFfQ0xPU0VQ</t>
  </si>
  <si>
    <t>UklDRS4yMDE3LTExLTE0LlVTRAEAAACkXQ0AAgAAAAozOTQuOTIwMTk0AOcQwSddQNcIt6P+J11A1wgvQ0lRLlRTRTo3OTc0LklRX1BFX0VYQ0wuSVFfTFRNLjIwMTktMDktMjMuLi5VU0QBAAAApF0NAAIAAAAJMjguNTEzMzgxAQcAAAAFAAAAATEBAAAACjE5NzU3OTI0NzADAAAAATACAAAABjEwMDAyNwQAAAABMAcAAAAJOS8yMC8yMDE5CAAAAAk5LzIwLzIwMTnnEMEnXUDXCLej/iddQNcILENJUS5UU0U6Nzk3NC5JUV9URVZfRUJJVERBLklRX0xUTS4yMDE5LTA4LTIwAQAAAKRdDQACAAAACTE0LjY2Mjc2NAEHAAAABQAAAAExAQAAAAoxOTc1NzkyNDcwAwAAAAEwAgAAAAYxMDAwMzAEAAAAATAHAAAACTgvMjAvMjAxOQgAAAAJOC8yMC8yMDE5p5nKJ11A1wi3o/4nXUDXCC5DSVEuVFNFOjk2ODQuSVFfRUJJVERBLkNZMjAxNS4yMDE5LTA5LTIzLi4uVVNEAQAAAKl9DQACAAAACjI3MC45MjM0NzUBCAAAAAUAAAABMQEAAAAKMTc3NTgxMjAxNgMAAAADMTYwAgAAAAQ0MDUxBAAAAAEwBwAAAAk5LzIzLzIwMTkIAAAACjEyLzMxLzIwMTUJAAAAATDnEMEnXUDXCHFoAyhdQNcILENJUS5UU0U6Nzk3NC5JUV9URVZfRUJJVERBLklRX0xUTS4yMDE4LTExLTEzAQAAAKRdDQACAAAACTE2LjExNDM4OAEHAAAABQAAAAExAQAAAAoxOTIxNTE4NDIzAwAAAAEwAgAAAAYxMDAwMzAEAAAAATAHAAAACjExLzEzLzIw</t>
  </si>
  <si>
    <t>MTgIAAAACjExLzEzLzIwMTjnEMEnXUDXCLej/iddQNcIKUNJUS5UU0U6Nzk3NC5JUV9DTE9TRVBSSUNFLjIwMTctMTAtMDMuVVNEAQAAAKRdDQACAAAACjM3MC4yNjE5OTIA5xDBJ11A1whrQfwnXUDXCD5DSVEuTkFTREFRR1M6QVRWSS5JUV9TSE9SVF9CVVNJTkVTU19ERVNDUklQVElPTi4yMDE5LTA5LTIzLlVTRAEAAAAXbUAAAwAAAIwBQWN0aXZpc2lvbiBCbGl6emFyZCwgSW5jLiBkZXZlbG9wcyBhbmQgZGlzdHJpYnV0ZXMgY29udGVudCBhbmQgc2VydmljZXMgb24gdmlkZW8gZ2FtZSBjb25zb2xlcywgcGVyc29uYWwgY29tcHV0ZXJzIChQQyksIGFuZCBtb2JpbGUgZGV2aWNlcy4A5xDBJ11A1wi3o/4nXUDXCClDSVEuVFNFOjc5NzQuSVFfQ0xPU0VQUklDRS4yMDE2LTA3LTI2LlVTRAEAAACkXQ0AAgAAAAoyMjUuMzg1NzQ4AOcQwSddQNcIt6P+J11A1wgpQ0lRLlRTRTo3OTc0LklRX0NMT1NFUFJJQ0UuMjAxOC0wMy0xMy5VU0QBAAAApF0NAAIAAAAKNDU3LjcyNzMyNQDnEMEnXUDXCAMGAShdQNcIJkNJUS5LT1NFOkEyNTEyNzAuSVFfVEVWLjIwMTktMDktMjMuVVNEAQAAAFnuLwkCAAAACzUyMjguNjIyOTY5AQYAAAAFAAAAATEBAAAACjE5ODExNTY1NDADAAAAAzE2MAIAAAAGMTAwMDYwBAAAAAEwBwAAAAk5LzIzLzIwMTnnEMEnXUDXCAMGAShdQNcIMUNJUS5UU0U6Nzk3NC5JUV9SRF9FWFBf</t>
  </si>
  <si>
    <t>Rk4uQ1kyMDE3LjIwMTktMDktMjMuLi5VU0QBAAAApF0NAAIAAAAKNTI1LjU2NDg3NwEIAAAABQAAAAExAQAAAAoxODc0MTkzMzQwAwAAAAMxNjACAAAABDMxNjgEAAAAATAHAAAACTkvMjMvMjAxOQgAAAAKMTIvMzEvMjAxNwkAAAABMKeZyiddQNcIYsoFKF1A1wgxQ0lRLlRTRTo3OTc0LklRX1RPVEFMX1JFVi5DWTIwMTcuMjAxOS0wOS0yMy4uLlVTRAEAAACkXQ0AAgAAAAo5MTg4Ljg0ODkzAQgAAAAFAAAAATEBAAAACjE4NzQxOTMzNDADAAAAAzE2MAIAAAACMjgEAAAAATAHAAAACTkvMjMvMjAxOQgAAAAKMTIvMzEvMjAxNwkAAAABMKeZyiddQNcIYsoFKF1A1wgpQ0lRLlRTRTo3OTc0LklRX0NMT1NFUFJJQ0UuMjAxOC0wMy0yNy5VU0QBAAAApF0NAAIAAAAKNDUzLjA1MzI4OADnEMEnXUDXCHFoAyhdQNcIKUNJUS5UU0U6Nzk3NC5JUV9DTE9TRVBSSUNFLjIwMTUtMDktMDEuVVNEAQAAAKRdDQACAAAACjE5OC45MTY0NDYA5xDBJ11A1wgDBgEoXUDXCDRDSVEuTkFTREFRR1M6RUEuSVFfVE9UQUxfUkVWLklRX0xUTS4yMDE5LTA5LTIzLi4uVVNEAQAAADttAAACAAAABDUwMjIBCAAAAAUAAAABMQEAAAAKMTk3NDIzNTgxMgMAAAADMTYwAgAAAAIyOAQAAAABMAcAAAAJOS8yMy8yMDE5CAAAAAk2LzMwLzIwMTkJAAAAATDnEMEnXUDXCHFoAyhdQNcIKUNJUS5UU0U6Nzk3NC5JUV9DTE9TRVBSSUNFLjIw</t>
  </si>
  <si>
    <t>MTctMDMtMDcuVVNEAQAAAKRdDQACAAAACjIxNi40ODM5OTQA5xDBJ11A1wi3o/4nXUDXCCxDSVEuVFNFOjc5NzQuSVFfVEVWX0VCSVREQS5JUV9MVE0uMjAxNi0wMy0yMgEAAACkXQ0AAgAAAAkyNC41NTM0MTcBBwAAAAUAAAABMQEAAAAKMTc3NjU4NDA0MwMAAAABMAIAAAAGMTAwMDMwBAAAAAEwBwAAAAkzLzIyLzIwMTYIAAAACTMvMjIvMjAxNucQwSddQNcIa0H8J11A1wgpQ0lRLlRTRTo3OTc0LklRX0NMT1NFUFJJQ0UuMjAxNy0xMi0wNS5VU0QBAAAApF0NAAIAAAAKMzgxLjQ4NDQ1MwDnEMEnXUDXCHFoAyhdQNcIKkNJUS5FTlhUUEE6VUJJLklRX01BUktFVENBUC4yMDE5LTA5LTIzLlVTRAEAAAAZdg0AAgAAAAs4NDQ2LjUyMDc3NQEGAAAABQAAAAExAQAAAAoxOTY4NDYyODY5AwAAAAMxNjACAAAABjEwMDA1NAQAAAABMAcAAAAJOS8yMy8yMDE55xDBJ11A1whrQfwnXUDXCDdDSVEuTkFTREFRR1M6VFRXTy5JUV9FQklUREFfRVNULkNZMjAyMi4yMDE5LTA5LTIzLi4uVVNEAQAAAFGqBQACAAAACDg2Mi4xNzE1AQ4AAAAFAAAAAjExAQAAAAEwAgAAAAcxMzE0NzUwAwAAAAYxMDAxODcEAAAAATIGAAAAATAHAAAAAzE2MAgAAAABMAkAAAABMQoAAAABMAsAAAALMTE2MTEzNzcxNDMMAAAAATcNAAAACTkvMjQvMjAxORAAAAAJOS8yMy8yMDE55xDBJ11A1whrQfwnXUDXCClDSVEuVFNFOjc5NzQuSVFf</t>
  </si>
  <si>
    <t>Q0xPU0VQUklDRS4yMDE3LTA5LTEyLlVTRAEAAACkXQ0AAgAAAAozNDQuMjg1MzczAOcQwSddQNcIcWgDKF1A1wgsQ0lRLlRTRTo3OTc0LklRX1RFVl9FQklUREEuSVFfTFRNLjIwMTctMDMtMjgBAAAApF0NAAIAAAAJNTAuMzc4MjYyAQcAAAAFAAAAATEBAAAACjE4Mjc3Njc3OTcDAAAAATACAAAABjEwMDAzMAQAAAABMAcAAAAJMy8yOC8yMDE3CAAAAAkzLzI4LzIwMTfnEMEnXUDXCHFoAyhdQNcINENJUS5OQVNEQVFHUzpFQS5JUV9UT1RBTF9SRVYuQ1kyMDE1LjIwMTktMDktMjMuLi5VU0QBAAAAO20AAAIAAAAENDI3MwEIAAAABQAAAAExAQAAAAoxODI2NjY1MjgwAwAAAAMxNjACAAAAAjI4BAAAAAEwBwAAAAk5LzIzLzIwMTkIAAAACjEyLzMxLzIwMTUJAAAAATDnEMEnXUDXCLej/iddQNcIKUNJUS5JUVRSMzI3NjQ0ODkyLklRX1RSX0lNUExJRURfRVZfRUJJVERBAQAAANx2hxMCAAAACTExLjgyNTQyMgEGAAAABQAAAAI1NAEAAAAGMTAyMDk0AgAAAAkzMjc2NDQ4OTIDAAAACTMyNzY0NTQ0MAQAAAACODUGAAAABUZhbHNl5xDBJ11A1wgDBgEoXUDXCC9DSVEuS09TRTpBMjUxMjcwLklRX0NPTVBBTllfTkFNRS4yMDE5LTA5LTIzLlVTRAEAAABZ7i8JAwAAABVOZXRtYXJibGUgQ29ycG9yYXRpb24A5xDBJ11A1whrQfwnXUDXCCxDSVEuVFNFOjc5NzQuSVFfVEVWX0VCSVREQS5JUV9MVE0uMjAxOC0x</t>
  </si>
  <si>
    <t>Mi0xMQEAAACkXQ0AAgAAAAkxNC40NDk1NzYBBwAAAAUAAAABMQEAAAAKMTkyMTUxODQyMwMAAAABMAIAAAAGMTAwMDMwBAAAAAEwBwAAAAoxMi8xMS8yMDE4CAAAAAoxMi8xMS8yMDE45xDBJ11A1wi3o/4nXUDXCDNDSVEuTkFTREFRR1M6QVRWSS5JUV9FQklUREEuSVFfTFRNLjIwMTktMDktMjMuLi5VU0QBAAAAF21AAAIAAAAEMjM2MgEIAAAABQAAAAExAQAAAAoxOTc1MDM5MDUyAwAAAAMxNjACAAAABDQwNTEEAAAAATAHAAAACTkvMjMvMjAxOQgAAAAJNi8zMC8yMDE5CQAAAAEw5xDBJ11A1whxaAMoXUDXCDhDSVEuTkFTREFRR1M6QVRWSS5JUV9SRVZFTlVFX0VTVC5DWTIwMjIuMjAxOS0wOS0yMy4uLlVTRAEAAAAXbUAAAgAAAAg4NDE5LjI3NQEOAAAABQAAAAIxMQEAAAABMAIAAAAKMTAwMTM5OTIxNQMAAAAGMTAwMTgwBAAAAAEyBgAAAAEwBwAAAAMxNjAIAAAAATAJAAAAATEKAAAAATALAAAACzExNTYzMzUwMjY2DAAAAAE3DQAAAAk5LzI0LzIwMTkQAAAACTkvMjMvMjAxOecQwSddQNcIAwYBKF1A1wgpQ0lRLklRVFI2MDU0MDAzNjQuSVFfVFJfSU1QTElFRF9FVl9FQklUREEBAAAALK0VJAIAAAAJMTQuOTI2MjY4AQYAAAAFAAAAAjU0AQAAAAYxMDIwOTQCAAAACTYwNTQwMDM2NAMAAAAJNjA1NDAwNjgxBAAAAAI1MAYAAAAFRmFsc2XnEMEnXUDXCGtB/CddQNcIKUNJUS5UU0U6Nzk3NC5JUV9D</t>
  </si>
  <si>
    <t>TE9TRVBSSUNFLjIwMTgtMTAtMDIuVVNEAQAAAKRdDQACAAAACTM3MS40MDA4OQDnEMEnXUDXCGtB/CddQNcILUNJUS5UU0U6Nzk3NC5JUV9DQVBFWC5DWTIwMTcuMjAxOS0wOS0yMy4uLlVTRAEAAACkXQ0AAwAAAAAAp5nKJ11A1whiygUoXUDXCClDSVEuVFNFOjc5NzQuSVFfQ0xPU0VQUklDRS4yMDE3LTA4LTIyLlVTRAEAAACkXQ0AAgAAAAozMjkuOTM0NjA2AOcQwSddQNcIt6P+J11A1wgpQ0lRLlRTRTo3OTc0LklRX0NMT1NFUFJJQ0UuMjAxNi0wMi0xNi5VU0QBAAAApF0NAAIAAAAKMTM5Ljk0Mzc0MQDnEMEnXUDXCAMGAShdQNcILkNJUS5LT1NFOkEyNTEyNzAuSVFfVEVWLjQzNDY1LjIwMTktMDktMjMuLi5VU0QBAAAAWe4vCQIAAAALNjU3Mi42Nzk0MDEBBgAAAAUAAAABMQEAAAAKMTkyNjIzNjAyOAMAAAADMTYwAgAAAAYxMDAwNjAEAAAAATAHAAAACjEyLzMxLzIwMTjnEMEnXUDXCGtB/CddQNcIMkNJUS5LT1NFOkEyNTEyNzAuSVFfRUJJVERBLklRX0xUTS4yMDE5LTA5LTIzLi4uVVNEAQAAAFnuLwkCAAAACjIzNi45NTIyNTYBCAAAAAUAAAABMQEAAAAKMTk4MTE3MDA1MgMAAAADMTYwAgAAAAQ0MDUxBAAAAAEwBwAAAAk5LzIzLzIwMTkIAAAACTYvMzAvMjAxOQkAAAABMOcQwSddQNcIa0H8J11A1wgyQ0lRLlRTRTo3OTc0LklRX0VCSVREQV9FU1QuQ1kyMDIxLjIwMTktMDktMjMuLi5VU0QB</t>
  </si>
  <si>
    <t>AAAApF0NAAIAAAAQMzM5Ni41Mzg1NTg2NjI4OAEOAAAABQAAAAIxMQEAAAABMAIAAAAJNjUyOTE0MTgwAwAAAAYxMDAxODcEAAAAAjU2BgAAAAEwBwAAAAMxNjAIAAAAATAJAAAAATEKAAAAATALAAAACzExNjAzNTc0MDA0DAAAAAE3DQAAAAk5LzI0LzIwMTkQAAAACTkvMjMvMjAxOecQwSddQNcIt6P+J11A1wgvQ0lRLk5BU0RBUUdTOlRUV08uSVFfVEVWLjQzMTAwLjIwMTktMDktMjMuLi5VU0QBAAAAUaoFAAIAAAAJMTEzMDkuNjM2AQYAAAAFAAAAATEBAAAACjE4NjQ2NzkzMTcDAAAAAzE2MAIAAAAGMTAwMDYwBAAAAAEwBwAAAAoxMi8zMS8yMDE35xDBJ11A1wgDBgEoXUDXCCJDSVEuSVFUUjYwNTQwMDM2NC5JUV9UUl9TRUxMRVJOQU1FAQAAACytFSQDAAAAClZpdmVuZGkgU0EA5xDBJ11A1whxaAMoXUDXCCxDSVEuVFNFOjc5NzQuSVFfVEVWX0VCSVREQS5JUV9MVE0uMjAxNi0xMS0yOQEAAACkXQ0AAgAAAAk2Mi4wMzcwMzYBBwAAAAUAAAABMQEAAAAKMTgxODA2ODIyMQMAAAABMAIAAAAGMTAwMDMwBAAAAAEwBwAAAAoxMS8yOS8yMDE2CAAAAAoxMS8yOS8yMDE25xDBJ11A1whrQfwnXUDXCClDSVEuVFNFOjc5NzQuSVFfQ0xPU0VQUklDRS4yMDE2LTA5LTIwLlVTRAEAAACkXQ0AAgAAAAoyNjguNTQ0NDcyAOcQwSddQNcIt6P+J11A1wgqQ0lRLlRTRTo3OTc0LklRX1RFVi40MzQ2NS4yMDE5LTA5</t>
  </si>
  <si>
    <t>LTIzLi4uVVNEAQAAAKRdDQACAAAADDI0Mjg3LjIxNjYzNAEGAAAABQAAAAExAQAAAAoxOTIxNTExNDE2AwAAAAMxNjACAAAABjEwMDA2MAQAAAABMAcAAAAKMTIvMzEvMjAxOOcQwSddQNcIYsoFKF1A1wgsQ0lRLlRTRTo3OTc0LklRX1RFVl9FQklUREEuSVFfTFRNLjIwMTYtMDItMDkBAAAApF0NAAIAAAAJMjIuNjk2MDk3AQcAAAAFAAAAATEBAAAACjE3NzQyODE2MjgDAAAAATACAAAABjEwMDAzMAQAAAABMAcAAAAIMi85LzIwMTYIAAAACDIvOS8yMDE25xDBJ11A1wgDBgEoXUDXCDNDSVEuVFNFOjk2ODQuSVFfUkVWRU5VRV9FU1QuQ1kyMDIyLjIwMTktMDktMjMuLi5VU0QBAAAAqX0NAAIAAAAQMjczOC42NjMxNTEyMDU0OAEOAAAABQAAAAIxMQEAAAABMAIAAAAJNzI2ODYzOTU3AwAAAAYxMDAxODAEAAAAAjU2BgAAAAEwBwAAAAMxNjAIAAAAATAJAAAAATEKAAAAATALAAAACzExNjA4ODA4MTkwDAAAAAE3DQAAAAk5LzI0LzIwMTkQAAAACTkvMjMvMjAxOecQwSddQNcIa0H8J11A1wg2Q0lRLk5BU0RBUUdTOkFUVkkuSVFfVE9UQUxfUkVWLkNZMjAxNS4yMDE5LTA5LTIzLi4uVVNEAQAAABdtQAACAAAABDQ2NjQBCAAAAAUAAAABMQEAAAAKMTg3Njc1NDg3NwMAAAADMTYwAgAAAAIyOAQAAAABMAcAAAAJOS8yMy8yMDE5CAAAAAoxMi8zMS8yMDE1CQAAAAEw5xDBJ11A1wgDBgEoXUDXCC5DSVEuVFNF</t>
  </si>
  <si>
    <t>Ojk2ODQuSVFfRUJJVERBLkNZMjAxOC4yMDE5LTA5LTIzLi4uVVNEAQAAAKl9DQACAAAACjE5OS4wNDA2OTYBCAAAAAUAAAABMQEAAAAKMTk0NDM4ODIyNAMAAAADMTYwAgAAAAQ0MDUxBAAAAAEwBwAAAAk5LzIzLzIwMTkIAAAACjEyLzMxLzIwMTgJAAAAATDnEMEnXUDXCGtB/CddQNcIKUNJUS5UU0U6Nzk3NC5JUV9DTE9TRVBSSUNFLjIwMTUtMDUtMjYuVVNEAQAAAKRdDQACAAAACjE3Mi41NTgwOTQA5xDBJ11A1whxaAMoXUDXCClDSVEuVFNFOjc5NzQuSVFfQ0xPU0VQUklDRS4yMDE2LTEyLTA2LlVTRAEAAACkXQ0AAgAAAAoyNDQuNTU4NTM4AOcQwSddQNcIcWgDKF1A1wguQ0lRLktPU0U6QTI1MTI3MC5JUV9URVYuNDM4MzAuMjAxOS0wOS0yMy4uLlVTRAEAAABZ7i8JAgAAAAs1MjI4LjYyMjk2OQEGAAAABQAAAAExAQAAAAoxOTgxMTU2NTQwAwAAAAMxNjACAAAABjEwMDA2MAQAAAABMAcAAAAJOS8yMy8yMDE55xDBJ11A1wgDBgEoXUDXCClDSVEuVFNFOjc5NzQuSVFfQ0xPU0VQUklDRS4yMDE5LTA3LTE2LlVTRAEAAACkXQ0AAgAAAAozODQuMjQ2MDA1AKeZyiddQNcIcWgDKF1A1wgsQ0lRLlRTRTo3OTc0LklRX1RFVl9FQklUREEuSVFfTFRNLjIwMTYtMTAtMTEBAAAApF0NAAIAAAAJNjIuMzc1NTk4AQcAAAAFAAAAATEBAAAACjE4MDI3NzY3NzUDAAAAATACAAAABjEwMDAzMAQAAAABMAcAAAAK</t>
  </si>
  <si>
    <t>MTAvMTEvMjAxNggAAAAKMTAvMTEvMjAxNucQwSddQNcIYsoFKF1A1wgpQ0lRLlRTRTo3OTc0LklRX0NMT1NFUFJJQ0UuMjAxOS0wNS0yOC5VU0QBAAAApF0NAAIAAAAKMzU3LjIxNzg3MwDnEMEnXUDXCLej/iddQNcILENJUS5UU0U6Nzk3NC5JUV9URVZfRUJJVERBLklRX0xUTS4yMDE2LTEyLTI3AQAAAKRdDQACAAAACTUxLjc2NDQwMwEHAAAABQAAAAExAQAAAAoxODE4MDY4MjIxAwAAAAEwAgAAAAYxMDAwMzAEAAAAATAHAAAACjEyLzI3LzIwMTYIAAAACjEyLzI3LzIwMTbnEMEnXUDXCGtB/CddQNcINkNJUS5OQVNEQVFHUzpBVFZJLklRX1RPVEFMX1JFVi5DWTIwMTguMjAxOS0wOS0yMy4uLlVTRAEAAAAXbUAAAgAAAAQ3NTAwAQgAAAAFAAAAATEBAAAACjE5NDc4Mjg3NjkDAAAAAzE2MAIAAAACMjgEAAAAATAHAAAACTkvMjMvMjAxOQgAAAAKMTIvMzEvMjAxOAkAAAABMOcQwSddQNcIcWgDKF1A1wgpQ0lRLklRVFIyMzMzNzg0MzkuSVFfVFJfSU1QTElFRF9FVl9FQklUREEBAAAAhxLpDQIAAAAJMzQuNDUwMDg2AQYAAAAFAAAAAjU0AQAAAAYxMDIwOTQCAAAACTIzMzM3ODQzOQMAAAAJMjMzMzc4NzgxBAAAAAI3OQYAAAAFRmFsc2XnEMEnXUDXCGtB/CddQNcIKUNJUS5UU0U6Nzk3NC5JUV9DTE9TRVBSSUNFLjIwMTUtMDktMTUuVVNEAQAAAKRdDQACAAAACjE4OC4xNjI4NjQA5xDBJ11A1whxaAMo</t>
  </si>
  <si>
    <t>XUDXCClDSVEuVFNFOjc5NzQuSVFfQ0xPU0VQUklDRS4yMDE3LTA1LTE2LlVTRAEAAACkXQ0AAgAAAAoyNjUuMTI4Mzk0AOcQwSddQNcIa0H8J11A1wg2Q0lRLk5BU0RBUUdTOkFUVkkuSVFfVE9UQUxfUkVWLkNZMjAxNi4yMDE5LTA5LTIzLi4uVVNEAQAAABdtQAACAAAABDY2MDgBCAAAAAUAAAABMQEAAAAKMTk0NzgyODc1NAMAAAADMTYwAgAAAAIyOAQAAAABMAcAAAAJOS8yMy8yMDE5CAAAAAoxMi8zMS8yMDE2CQAAAAEw5xDBJ11A1whxaAMoXUDXCDdDSVEuVFNFOjc5NzQuSVFfQ0FTSF9BQ1FVSVJFX0NGLklRX0xUTS4yMDE5LTA5LTIzLi4uVVNEAQAAAKRdDQADAAAAAACnmconXUDXCGLKBShdQNcIKUNJUS5UU0U6Nzk3NC5JUV9DTE9TRVBSSUNFLjIwMTgtMDgtMjguVVNEAQAAAKRdDQACAAAACjM0Ny45NzA4MzUA5xDBJ11A1wgDBgEoXUDXCCxDSVEuVFNFOjc5NzQuSVFfVEVWX0VCSVREQS5JUV9MVE0uMjAxNi0wNy0yNgEAAACkXQ0AAgAAAAk0My44MzMyNTMBBwAAAAUAAAABMQEAAAAKMTc5OTI0OTA1NwMAAAABMAIAAAAGMTAwMDMwBAAAAAEwBwAAAAk3LzI2LzIwMTYIAAAACTcvMjYvMjAxNucQwSddQNcIAwYBKF1A1wgqQ0lRLlRTRTo3OTc0LklRX1RFVi40NDU2MS4yMDE5LTA5LTIzLi4uVVNEAQAAAKRdDQACAAAADDM4ODcxLjMyOTE0MQEGAAAABQAAAAExAQAAAAoxOTc1Nzg3MDg2AwAA</t>
  </si>
  <si>
    <t>AAMxNjACAAAABjEwMDA2MAQAAAABMAcAAAAJOS8yMC8yMDE55xDBJ11A1wi3o/4nXUDXCCxDSVEuRU5YVFBBOlVCSS5JUV9URVYuNDI3MzUuMjAxOS0wOS0yMy4uLlVTRAEAAAAZdg0AAgAAAAszOTUwLjIyNjA5NgEGAAAABQAAAAExAQAAAAoxODE5NzQyMzQ5AwAAAAMxNjACAAAABjEwMDA2MAQAAAABMAcAAAAKMTIvMzEvMjAxNucQwSddQNcIcWgDKF1A1wgqQ0lRLlRTRTo3OTc0LklRX1RFVi40NDE5Ni4yMDE5LTA5LTIzLi4uVVNEAQAAAKRdDQACAAAADDM4ODcxLjMyOTE0MQEGAAAABQAAAAExAQAAAAoxOTc1Nzg3MDg2AwAAAAMxNjACAAAABjEwMDA2MAQAAAABMAcAAAAJOS8yMC8yMDE55xDBJ11A1wi3o/4nXUDXCCxDSVEuVFNFOjc5NzQuSVFfVEVWX0VCSVREQS5JUV9MVE0uMjAxNy0wOC0wOAEAAACkXQ0AAgAAAAk0NC4xMTEzOTcBBwAAAAUAAAABMQEAAAAKMTg1MDM3ODU5OQMAAAABMAIAAAAGMTAwMDMwBAAAAAEwBwAAAAg4LzgvMjAxNwgAAAAIOC84LzIwMTfnEMEnXUDXCGtB/CddQNcIKUNJUS5UU0U6Nzk3NC5JUV9DTE9TRVBSSUNFLjIwMTktMDktMjMuVVNEAQAAAKRdDQACAAAACjM5Ni44MDU1NTkA5xDBJ11A1whiygUoXUDXCCxDSVEuVFNFOjc5NzQuSVFfVEVWX0VCSVREQS5JUV9MVE0uMjAxOS0wMy0xOQEAAACkXQ0AAgAAAAkxMC44NDYwMDgBBwAAAAUAAAABMQEAAAAKMTk0NDU5</t>
  </si>
  <si>
    <t>NzY1OAMAAAABMAIAAAAGMTAwMDMwBAAAAAEwBwAAAAkzLzE5LzIwMTkIAAAACTMvMTkvMjAxOecQwSddQNcIa0H8J11A1wgpQ0lRLlRTRTo3OTc0LklRX0NMT1NFUFJJQ0UuMjAxOC0wNy0yNC5VU0QBAAAApF0NAAIAAAAKMzMzLjAwMzYwNgDnEMEnXUDXCLej/iddQNcIM0NJUS5UU0U6Nzk3NC5JUV9SRVZFTlVFX0VTVC5DWTIwMjIuMjAxOS0wOS0yMy4uLlVTRAEAAACkXQ0AAgAAABAxMDkwMy45NTYxOTc3OTY4AQ4AAAAFAAAAAjExAQAAAAEwAgAAAAk2NTI5MTQxODEDAAAABjEwMDE4MAQAAAACNTYGAAAAATAHAAAAAzE2MAgAAAABMAkAAAABMQoAAAABMAsAAAALMTE2MTA4MjYyMjAMAAAAATcNAAAACTkvMjQvMjAxORAAAAAJOS8yMy8yMDE55xDBJ11A1whxaAMoXUDXCCxDSVEuVFNFOjc5NzQuSVFfVEVWX0VCSVREQS5JUV9MVE0uMjAxOS0wNy0xNgEAAACkXQ0AAgAAAAkxNC41NzA1MzMBBwAAAAUAAAABMQEAAAAKMTk3MDIyMDUxNQMAAAABMAIAAAAGMTAwMDMwBAAAAAEwBwAAAAk3LzE2LzIwMTkIAAAACTcvMTYvMjAxOaeZyiddQNcIYsoFKF1A1wgpQ0lRLlRTRTo3OTc0LklRX0NMT1NFUFJJQ0UuMjAxNy0xMC0yNC5VU0QBAAAApF0NAAIAAAAKMzg3LjEzMDc0OADnEMEnXUDXCAMGAShdQNcILENJUS5UU0U6Nzk3NC5JUV9URVZfRUJJVERBLklRX0xUTS4yMDE1LTA4LTExAQAAAKRdDQACAAAA</t>
  </si>
  <si>
    <t>CTQ3LjE0ODE2NwEHAAAABQAAAAExAQAAAAoxNzQ5ODU3MDk3AwAAAAEwAgAAAAYxMDAwMzAEAAAAATAHAAAACTgvMTEvMjAxNQgAAAAJOC8xMS8yMDE15xDBJ11A1whrQfwnXUDXCDNDSVEuTkFTREFRR1M6QVRWSS5JUV9FQklUREEuQ1kyMDE3LjIwMTktMDktMjMuLi5VU0QBAAAAF21AAAIAAAAEMjIyNwEIAAAABQAAAAExAQAAAAoxOTQ3ODI4NzYwAwAAAAMxNjACAAAABDQwNTEEAAAAATAHAAAACTkvMjMvMjAxOQgAAAAKMTIvMzEvMjAxNwkAAAABMOcQwSddQNcIAwYBKF1A1wgtQ0lRLktPU0U6QTI1MTI3MC5JUV9DTE9TRVBSSUNFLjIwMTktMDktMjMuVVNEAQAAAFnuLwkCAAAACTgxLjg1NjgzMwDnEMEnXUDXCLej/iddQNcIKUNJUS5UU0U6Nzk3NC5JUV9DTE9TRVBSSUNFLjIwMTctMDctMTEuVVNEAQAAAKRdDQACAAAACjMxNi4wMjQ3MTkA5xDBJ11A1whrQfwnXUDXCC9DSVEuTkFTREFRR1M6VFRXTy5JUV9HUC5DWTIwMTcuMjAxOS0wOS0yMy4uLlVTRAEAAABRqgUAAgAAAAc4OTEuOTc1AQgAAAAFAAAAATEBAAAACjE5NDM5MjUyMzQDAAAAAzE2MAIAAAACMTAEAAAAATAHAAAACTkvMjMvMjAxOQgAAAAKMTIvMzEvMjAxNwkAAAABMOcQwSddQNcIcWgDKF1A1wgqQ0lRLlRTRTo3OTc0LklRX1RFVi40MzgzMC4yMDE5LTA5LTIzLi4uVVNEAQAAAKRdDQACAAAADDM4ODcxLjMyOTE0MQEGAAAABQAA</t>
  </si>
  <si>
    <t>AAExAQAAAAoxOTc1Nzg3MDg2AwAAAAMxNjACAAAABjEwMDA2MAQAAAABMAcAAAAJOS8yMC8yMDE55xDBJ11A1whiygUoXUDXCCxDSVEuS09TRTpBMjUxMjcwLklRX01BUktFVENBUC4yMDE5LTA5LTIzLlVTRAEAAABZ7i8JAgAAAAs2ODY0LjM1NDMzOAEGAAAABQAAAAExAQAAAAoxOTgxMTU2NTQwAwAAAAMxNjACAAAABjEwMDA1NAQAAAABMAcAAAAJOS8yMy8yMDE55xDBJ11A1whrQfwnXUDXCCxDSVEuVFNFOjc5NzQuSVFfVEVWX0VCSVREQS5JUV9MVE0uMjAxNi0xMi0wNgEAAACkXQ0AAgAAAAk2MS42NjMyMTQBBwAAAAUAAAABMQEAAAAKMTgxODA2ODIyMQMAAAABMAIAAAAGMTAwMDMwBAAAAAEwBwAAAAkxMi82LzIwMTYIAAAACTEyLzYvMjAxNucQwSddQNcIYsoFKF1A1wgsQ0lRLlRTRTo3OTc0LklRX1RFVl9FQklUREEuSVFfTFRNLjIwMTUtMTAtMDYBAAAApF0NAAIAAAAJMzguMzM3MDQ4AQcAAAAFAAAAATEBAAAACjE3NDk4NTcwOTcDAAAAATACAAAABjEwMDAzMAQAAAABMAcAAAAJMTAvNi8yMDE1CAAAAAkxMC82LzIwMTXnEMEnXUDXCGtB/CddQNcIKUNJUS5UU0U6Nzk3NC5JUV9DTE9TRVBSSUNFLjIwMTctMDMtMjEuVVNEAQAAAKRdDQACAAAACjIzNC41Mjk4NzcA5xDBJ11A1whrQfwnXUDXCCxDSVEuVFNFOjc5NzQuSVFfVEVWX0VCSVREQS5JUV9MVE0uMjAxNy0wNy0xOAEAAACkXQ0AAgAA</t>
  </si>
  <si>
    <t>AAg1OS4yODgyMgEHAAAABQAAAAExAQAAAAoxODQ5MDMzMTM4AwAAAAEwAgAAAAYxMDAwMzAEAAAAATAHAAAACTcvMTgvMjAxNwgAAAAJNy8xOC8yMDE35xDBJ11A1whiygUoXUDXCCxDSVEuVFNFOjc5NzQuSVFfVEVWX0VCSVREQS5JUV9MVE0uMjAxNy0xMS0wNwEAAACkXQ0AAgAAAAk0Mi44MzMyMDIBBwAAAAUAAAABMQEAAAAKMTg2MzA3Njc5NAMAAAABMAIAAAAGMTAwMDMwBAAAAAEwBwAAAAkxMS83LzIwMTcIAAAACTExLzcvMjAxN+cQwSddQNcIcWgDKF1A1wgUQ0lRLi5JUV9DT01QQU5ZX05BTUUFAAAAAAAAAAgAAAAUKEludmFsaWQgSWRlbnRpZmllcinnEMEnXUDXCGLKBShdQNcIL0NJUS5OQVNEQVFHUzpUVFdPLklRX1RFVi40NDkyNi4yMDE5LTA5LTIzLi4uVVNEAQAAAFGqBQACAAAACzEyMDcxLjQ3MTUyAQYAAAAFAAAAATEBAAAACjE5NzQzMDI0ODgDAAAAAzE2MAIAAAAGMTAwMDYwBAAAAAEwBwAAAAk5LzIzLzIwMTnnEMEnXUDXCLej/iddQNcINUNJUS5FTlhUUEE6VUJJLklRX1JFVkVOVUVfRVNULkNZMjAyMC4yMDE5LTA5LTIzLi4uVVNEAQAAABl2DQACAAAADzMwMzUuMTg4MDM1NzQ1NAEOAAAABQAAAAIxMQEAAAABMAIAAAAINDc1MTQ3MTcDAAAABjEwMDE4MAQAAAABMwYAAAABMAcAAAADMTYwCAAAAAEwCQAAAAExCgAAAAEwCwAAAAsxMTU0NjM4MzEyMQwAAAABNw0AAAAJOS8yNC8y</t>
  </si>
  <si>
    <t>MDE5EAAAAAk5LzIzLzIwMTnnEMEnXUDXCAMGAShdQNcIM0NJUS5UU0U6Nzk3NC5JUV9SRVZFTlVFX0VTVC5DWTIwMTkuMjAxOS0wOS0yMy4uLlVTRAEAAACkXQ0AAgAAABAxMTMwMC4wMzA1OTgwNDQzAQ4AAAAFAAAAAjExAQAAAAEwAgAAAAgxMDc2ODY0OQMAAAAGMTAwMTgwBAAAAAI1NgYAAAABMAcAAAADMTYwCAAAAAEwCQAAAAExCgAAAAEwCwAAAAsxMTYwMzQ0NTIxNAwAAAABNw0AAAAJOS8yNC8yMDE5EAAAAAk5LzIzLzIwMTnnEMEnXUDXCLej/iddQNcIL0NJUS5UU0U6MzY1OS5JUV9QRV9FWENMLklRX0xUTS4yMDE5LTA5LTIzLi4uVVNEAQAAAJ4fgggCAAAACTEyLjU4MDU0NQEHAAAABQAAAAExAQAAAAoxOTc1NzkyNDM3AwAAAAEwAgAAAAYxMDAwMjcEAAAAATAHAAAACTkvMjAvMjAxOQgAAAAJOS8yMC8yMDE55xDBJ11A1wgDBgEoXUDXCClDSVEuVFNFOjc5NzQuSVFfQ0xPU0VQUklDRS4yMDE4LTEwLTE2LlVTRAEAAACkXQ0AAgAAAAozNTIuNDExNTMxAOcQwSddQNcIt6P+J11A1wgpQ0lRLlRTRTo3OTc0LklRX0NMT1NFUFJJQ0UuMjAxOC0wMS0wOS5VU0QBAAAApF0NAAIAAAAJMzgzLjM5ODUxAOcQwSddQNcIt6P+J11A1wgqQ0lRLlRTRTo3OTc0LklRX0dQLkNZMjAxNS4yMDE5LTA5LTIzLi4uVVNEAQAAAKRdDQACAAAACzE4NzEuMzgxMTMyAQgAAAAFAAAAATEBAAAACjE3NzY1ODQwNDMD</t>
  </si>
  <si>
    <t>AAAAAzE2MAIAAAACMTAEAAAAATAHAAAACTkvMjMvMjAxOQgAAAAKMTIvMzEvMjAxNQkAAAABMOcQwSddQNcIcWgDKF1A1wgpQ0lRLlRTRTo3OTc0LklRX0NMT1NFUFJJQ0UuMjAxNy0xMC0xNy5VU0QBAAAApF0NAAIAAAAKMzg5LjA2Njk1NgDnEMEnXUDXCLej/iddQNcIL0NJUS5OQVNEQVFHUzpUVFdPLklRX1RFVi40MzgzMC4yMDE5LTA5LTIzLi4uVVNEAQAAAFGqBQACAAAACzEyMDcxLjQ3MTUyAQYAAAAFAAAAATEBAAAACjE5NzQzMDI0ODgDAAAAAzE2MAIAAAAGMTAwMDYwBAAAAAEwBwAAAAk5LzIzLzIwMTnnEMEnXUDXCGLKBShdQNcILENJUS5UU0U6Nzk3NC5JUV9URVZfRUJJVERBLklRX0xUTS4yMDE3LTAxLTI0AQAAAKRdDQACAAAACTQ3LjkwNjU1OAEHAAAABQAAAAExAQAAAAoxODE4MDY4MjIxAwAAAAEwAgAAAAYxMDAwMzAEAAAAATAHAAAACTEvMjQvMjAxNwgAAAAJMS8yNC8yMDE35xDBJ11A1whrQfwnXUDXCCxDSVEuVFNFOjc5NzQuSVFfVEVWX0VCSVREQS5JUV9MVE0uMjAxNy0wNS0xNgEAAACkXQ0AAgAAAAk0NS44MDUwMDgBBwAAAAUAAAABMQEAAAAKMTgzODIwNDA3NAMAAAABMAIAAAAGMTAwMDMwBAAAAAEwBwAAAAk1LzE2LzIwMTcIAAAACTUvMTYvMjAxN+cQwSddQNcIa0H8J11A1wgpQ0lRLlRTRTo3OTc0LklRX0NMT1NFUFJJQ0UuMjAxNS0wNy0yOC5VU0QBAAAApF0NAAIAAAAK</t>
  </si>
  <si>
    <t>MTY3Ljc2NjIyMgDnEMEnXUDXCLej/iddQNcIN0NJUS5UU0U6Nzk3NC5JUV9FRkZFQ1RfVEFYX1JBVEUuQ1kyMDE3LjIwMTktMDktMjMuLi5VU0QBAAAApF0NAAIAAAAHMzEuMDk3MwEIAAAABQAAAAExAQAAAAoxODc0MTkzMzQwAwAAAAI3OQIAAAAENDM3NgQAAAABMAcAAAAJOS8yMy8yMDE5CAAAAAoxMi8zMS8yMDE3CQAAAAEwp5nKJ11A1whiygUoXUDXCDJDSVEuVFNFOjc5NzQuSVFfRUJJVERBX0VTVC5DWTIwMjIuMjAxOS0wOS0yMy4uLlVTRAEAAACkXQ0AAgAAABAzNTAxLjE5NDU1NTYyNDM2AQ4AAAAFAAAAAjExAQAAAAEwAgAAAAk2NTI5MTQxODEDAAAABjEwMDE4NwQAAAACNTYGAAAAATAHAAAAAzE2MAgAAAABMAkAAAABMQoAAAABMAsAAAALMTE1OTkwNTIyMzUMAAAAATcNAAAACTkvMjQvMjAxORAAAAAJOS8yMy8yMDE55xDBJ11A1wi3o/4nXUDXCCpDSVEuVFNFOjM2NTkuSVFfVEVWLjQzODMwLjIwMTktMDktMjMuLi5VU0QBAAAAnh+CCAIAAAALNzAxMS4zMDQwMDYBBgAAAAUAAAABMQEAAAAKMTk3NTc4NjYyMgMAAAADMTYwAgAAAAYxMDAwNjAEAAAAATAHAAAACTkvMjAvMjAxOecQwSddQNcIa0H8J11A1wgsQ0lRLlRTRTo3OTc0LklRX1RFVl9FQklUREEuSVFfTFRNLjIwMTktMDQtMjMBAAAApF0NAAIAAAAJMTMuNDczNTM2AQcAAAAFAAAAATEBAAAACjE5NDQ1OTc2NTgDAAAAATACAAAA</t>
  </si>
  <si>
    <t>BjEwMDAzMAQAAAABMAcAAAAJNC8yMy8yMDE5CAAAAAk0LzIzLzIwMTnnEMEnXUDXCGLKBShdQNcILENJUS5UU0U6Nzk3NC5JUV9URVZfRUJJVERBLklRX0xUTS4yMDE2LTAzLTI5AQAAAKRdDQACAAAACTI1LjMzMTg1MgEHAAAABQAAAAExAQAAAAoxNzc2NTg0MDQzAwAAAAEwAgAAAAYxMDAwMzAEAAAAATAHAAAACTMvMjkvMjAxNggAAAAJMy8yOS8yMDE25xDBJ11A1whiygUoXUDXCClDSVEuVFNFOjc5NzQuSVFfQ0xPU0VQUklDRS4yMDE1LTA2LTIzLlVTRAEAAACkXQ0AAgAAAAoxNjkuMzA2NjA4AOcQwSddQNcIcWgDKF1A1wgqQ0lRLlRTRTozNjU5LklRX0dQLkNZMjAxNy4yMDE5LTA5LTIzLi4uVVNEAQAAAJ4fgggCAAAACzE1ODIuNzQ5NTg4AQgAAAAFAAAAATEBAAAACjE4ODE0Mzg3MTQDAAAAAzE2MAIAAAACMTAEAAAAATAHAAAACTkvMjMvMjAxOQgAAAAKMTIvMzEvMjAxNwkAAAABMOcQwSddQNcIa0H8J11A1wgsQ0lRLlRTRTo3OTc0LklRX1RFVl9FQklUREEuSVFfTFRNLjIwMTgtMDMtMjABAAAApF0NAAIAAAAJMjYuNzA1MDEyAQcAAAAFAAAAATEBAAAACjE4NzQxOTMzNDADAAAAATACAAAABjEwMDAzMAQAAAABMAcAAAAJMy8yMC8yMDE4CAAAAAkzLzIwLzIwMTjnEMEnXUDXCGtB/CddQNcILENJUS5UU0U6Nzk3NC5JUV9URVZfRUJJVERBLklRX0xUTS4yMDE3LTEwLTE3AQAAAKRdDQACAAAA</t>
  </si>
  <si>
    <t>CTUyLjExNjYxOQEHAAAABQAAAAExAQAAAAoxODU0MDQzODg4AwAAAAEwAgAAAAYxMDAwMzAEAAAAATAHAAAACjEwLzE3LzIwMTcIAAAACjEwLzE3LzIwMTfnEMEnXUDXCLej/iddQNcILENJUS5UU0U6Nzk3NC5JUV9URVZfRUJJVERBLklRX0xUTS4yMDE1LTExLTEwAQAAAKRdDQACAAAACTM2Ljk0ODMwNgEHAAAABQAAAAExAQAAAAoxNzYxNTE0MzM2AwAAAAEwAgAAAAYxMDAwMzAEAAAAATAHAAAACjExLzEwLzIwMTUIAAAACjExLzEwLzIwMTXnEMEnXUDXCGLKBShdQNcILENJUS5FTlhUUEE6VUJJLklRX1RFVi40MjM2OS4yMDE5LTA5LTIzLi4uVVNEAQAAABl2DQACAAAACjMzMjkuODk0MDQBBgAAAAUAAAABMQEAAAAKMTc2NDA4NTUwMQMAAAADMTYwAgAAAAYxMDAwNjAEAAAAATAHAAAACjEyLzMxLzIwMTXnEMEnXUDXCHFoAyhdQNcILENJUS5UU0U6Nzk3NC5JUV9URVZfRUJJVERBLklRX0xUTS4yMDE4LTAxLTAyAQAAAKRdDQACAAAACTQwLjQ1MTI0NAEHAAAABQAAAAExAQAAAAoxODY1NzkyMzYzAwAAAAEwAgAAAAYxMDAwMzAEAAAAATAHAAAACjEyLzI5LzIwMTcIAAAACjEyLzI5LzIwMTfnEMEnXUDXCGLKBShdQNcIL0NJUS5OQVNEQVFHUzpBVFZJLklRX0dQLklRX0xUTS4yMDE5LTA5LTIzLi4uVVNEAQAAABdtQAACAAAABDQ3NzMBCAAAAAUAAAABMQEAAAAKMTk3NTAzOTA1MgMAAAADMTYwAgAA</t>
  </si>
  <si>
    <t>AAIxMAQAAAABMAcAAAAJOS8yMy8yMDE5CAAAAAk2LzMwLzIwMTkJAAAAATDnEMEnXUDXCGtB/CddQNcINENJUS5OQVNEQVFHUzpBVFZJLklRX1BFX0VYQ0wuSVFfTFRNLjIwMTktMDktMjMuLi5VU0QBAAAAF21AAAIAAAAJMjQuNzM3Mzg3AQcAAAAFAAAAATEBAAAACjE5NzUwMzkwNTIDAAAAATACAAAABjEwMDAyNwQAAAABMAcAAAAJOS8yMy8yMDE5CAAAAAk5LzIzLzIwMTnnEMEnXUDXCLej/iddQNcILENJUS5UU0U6Nzk3NC5JUV9URVZfRUJJVERBLklRX0xUTS4yMDE2LTAxLTEyAQAAAKRdDQACAAAACTE5LjU3NTE1OAEHAAAABQAAAAExAQAAAAoxNzY1MTUzNjcxAwAAAAEwAgAAAAYxMDAwMzAEAAAAATAHAAAACTEvMTIvMjAxNggAAAAJMS8xMi8yMDE25xDBJ11A1wgDBgEoXUDXCClDSVEuVFNFOjc5NzQuSVFfQ0xPU0VQUklDRS4yMDE1LTA2LTAyLlVTRAEAAACkXQ0AAgAAAAkxNjkuODEyODMA5xDBJ11A1wi3o/4nXUDXCCJDSVEuSVFUUjYwNTQwMDM2NC5JUV9UUl9UT1RBTFZBTFVFAQAAACytFSQCAAAAAzQyOQEGAAAABQAAAAI1NAEAAAAGMTAwNTA0AgAAAAk2MDU0MDAzNjQDAAAACTYwNTQwMDM2NAQAAAACNTAGAAAABUZhbHNl5xDBJ11A1whrQfwnXUDXCCRDSVEuRU5YVFBBOlVCSS5JUV9URVYuMjAxOS0wOS0yMy5VU0QBAAAAGXYNAAIAAAALODc2OS42NTkxMDgBBgAAAAUAAAABMQEAAAAK</t>
  </si>
  <si>
    <t>MTk2ODQ2Mjg2OQMAAAADMTYwAgAAAAYxMDAwNjAEAAAAATAHAAAACTkvMjMvMjAxOecQwSddQNcIt6P+J11A1wg3Q0lRLlRTRTo3OTc0LklRX0NBU0hfQUNRVUlSRV9DRi5DWTIwMTguMjAxOS0wOS0yMy4uLlVTRAEAAACkXQ0AAwAAAAAAp5nKJ11A1whiygUoXUDXCCxDSVEuVFNFOjc5NzQuSVFfVEVWX0VCSVREQS5JUV9MVE0uMjAxOS0wOC0xMwEAAACkXQ0AAgAAAAkxMy45Mzg2OTQBBwAAAAUAAAABMQEAAAAKMTk3NTc5MjQ3MAMAAAABMAIAAAAGMTAwMDMwBAAAAAEwBwAAAAk4LzEzLzIwMTkIAAAACTgvMTMvMjAxOaeZyiddQNcIcWgDKF1A1wgpQ0lRLlRTRTo3OTc0LklRX0NMT1NFUFJJQ0UuMjAxOS0wMy0yNi5VU0QBAAAApF0NAAIAAAAKMjg4LjYwOTQxMgDnEMEnXUDXCHFoAyhdQNcILENJUS5UU0U6Nzk3NC5JUV9URVZfRUJJVERBLklRX0xUTS4yMDE4LTA4LTE0AQAAAKRdDQACAAAACTE2Ljc5NTMyOQEHAAAABQAAAAExAQAAAAoxOTAwMjcyNzk2AwAAAAEwAgAAAAYxMDAwMzAEAAAAATAHAAAACTgvMTQvMjAxOAgAAAAJOC8xNC8yMDE45xDBJ11A1whiygUoXUDXCCxDSVEuVFNFOjc5NzQuSVFfVEVWX0VCSVREQS5JUV9MVE0uMjAxNy0wMi0wNwEAAACkXQ0AAgAAAAk0Mi44MjA2NTgBBwAAAAUAAAABMQEAAAAKMTgyNTkyMjA3MgMAAAABMAIAAAAGMTAwMDMwBAAAAAEwBwAAAAgyLzcvMjAx</t>
  </si>
  <si>
    <t>NwgAAAAIMi83LzIwMTfnEMEnXUDXCLej/iddQNcILENJUS5UU0U6Nzk3NC5JUV9URVZfRUJJVERBLklRX0xUTS4yMDE2LTA0LTE5AQAAAKRdDQACAAAACTI1Ljg3ODEyMgEHAAAABQAAAAExAQAAAAoxNzc2NTg0MDQzAwAAAAEwAgAAAAYxMDAwMzAEAAAAATAHAAAACTQvMTkvMjAxNggAAAAJNC8xOS8yMDE25xDBJ11A1whrQfwnXUDXCDdDSVEuTkFTREFRR1M6VFRXTy5JUV9FQklUREFfRVNULkNZMjAxOS4yMDE5LTA5LTIzLi4uVVNEAQAAAFGqBQACAAAACDY3MC40OTM3AQ4AAAAFAAAAAjExAQAAAAEwAgAAAAcxMDg1NzU3AwAAAAYxMDAxODcEAAAAATIGAAAAATAHAAAAAzE2MAgAAAABMAkAAAABMQoAAAABMAsAAAALMTE2MTEzNzcxMjMMAAAAATcNAAAACTkvMjQvMjAxORAAAAAJOS8yMy8yMDE55xDBJ11A1whxaAMoXUDXCClDSVEuVFNFOjc5NzQuSVFfQ0xPU0VQUklDRS4yMDE1LTExLTAzLlVTRAEAAACkXQ0AAwAAAAAA5xDBJ11A1wgDBgEoXUDXCDNDSVEuRU5YVFBBOlVCSS5JUV9UT1RBTF9SRVYuQ1kyMDE4LjIwMTktMDktMjMuLi5VU0QBAAAAGXYNAAIAAAALMjIyMC4xODc3NzIBCAAAAAUAAAABMQEAAAAKMTk2ODQ2MjkwMAMAAAADMTYwAgAAAAIyOAQAAAABMAcAAAAJOS8yMy8yMDE5CAAAAAoxMi8zMS8yMDE4CQAAAAEw5xDBJ11A1whrQfwnXUDXCDdDSVEuTkFTREFRR1M6QVRWSS5JUV9F</t>
  </si>
  <si>
    <t>QklUREFfRVNULkNZMjAyMS4yMDE5LTA5LTIzLi4uVVNEAQAAABdtQAACAAAACDI5MzcuNTYxAQ4AAAAFAAAAAjExAQAAAAEwAgAAAAoxMDAxMzQ2MjczAwAAAAYxMDAxODcEAAAAATIGAAAAATAHAAAAAzE2MAgAAAABMAkAAAABMQoAAAABMAsAAAALMTE2MTAwMTIzOTQMAAAAATcNAAAACTkvMjQvMjAxORAAAAAJOS8yMy8yMDE55xDBJ11A1whrQfwnXUDXCDlDSVEuS09TRTpBMjUxMjcwLklRX0NBU0hfSU5URVJFU1QuSVFfTFRNLjIwMTktMDktMjMuLi5VU0QBAAAAWe4vCQIAAAAIMy44NTI4NzYBCAAAAAUAAAABMQEAAAAKMTk4MTE3MDA1MgMAAAADMTYwAgAAAAQzMDI4BAAAAAEwBwAAAAk5LzIzLzIwMTkIAAAACTYvMzAvMjAxOQkAAAABMKeZyiddQNcIAwYBKF1A1wgsQ0lRLlRTRTo3OTc0LklRX1RFVl9FQklUREEuSVFfTFRNLjIwMTctMDMtMDcBAAAApF0NAAIAAAAJNDUuMTQxMjYxAQcAAAAFAAAAATEBAAAACjE4Mjc3Njc3OTcDAAAAATACAAAABjEwMDAzMAQAAAABMAcAAAAIMy83LzIwMTcIAAAACDMvNy8yMDE35xDBJ11A1wi3o/4nXUDXCClDSVEuVFNFOjc5NzQuSVFfQ0xPU0VQUklDRS4yMDE3LTA2LTA2LlVTRAEAAACkXQ0AAgAAAAozMTYuOTIxMzk3AOcQwSddQNcIAwYBKF1A1wgzQ0lRLlRTRTo3OTc0LklRX1JFVkVOVUVfRVNULkNZMjAyMC4yMDE5LTA5LTIzLi4uVVNEAQAAAKRdDQAC</t>
  </si>
  <si>
    <t>AAAAEDEyMzg1LjE1OTIwNzQ1ODkBDgAAAAUAAAACMTEBAAAAATACAAAACTY1MjkxNDE3OQMAAAAGMTAwMTgwBAAAAAI1NgYAAAABMAcAAAADMTYwCAAAAAEwCQAAAAExCgAAAAEwCwAAAAsxMTYwMzQ0NDk5NAwAAAABNw0AAAAJOS8yNC8yMDE5EAAAAAk5LzIzLzIwMTnnEMEnXUDXCLej/iddQNcIM0NJUS5UU0U6MzY1OS5JUV9SRVZFTlVFX0VTVC5DWTIwMjIuMjAxOS0wOS0yMy4uLlVTRAEAAACeH4IIAgAAAA4yNjYxLjg5MzIyOTYzOQEOAAAABQAAAAIxMQEAAAABMAIAAAAKMTAwMTY0OTQ2MwMAAAAGMTAwMTgwBAAAAAEzBgAAAAEwBwAAAAMxNjAIAAAAATAJAAAAATEKAAAAATALAAAACzExNTk2OTczMTA5DAAAAAE3DQAAAAk5LzI0LzIwMTkQAAAACTkvMjMvMjAxOecQwSddQNcIcWgDKF1A1wgyQ0lRLktPU0U6QTI1MTI3MC5JUV9FQklUREEuQ1kyMDE4LjIwMTktMDktMjMuLi5VU0QBAAAAWe4vCQIAAAAKMjg4LjU3OTc2MwEIAAAABQAAAAExAQAAAAoxOTUwOTM2NTM4AwAAAAMxNjACAAAABDQwNTEEAAAAATAHAAAACTkvMjMvMjAxOQgAAAAKMTIvMzEvMjAxOAkAAAABMOcQwSddQNcIa0H8J11A1wgpQ0lRLlRTRTo3OTc0LklRX0NMT1NFUFJJQ0UuMjAxNy0wMy0xNC5VU0QBAAAApF0NAAIAAAAKMjE3LjI0NzA4OADnEMEnXUDXCAMGAShdQNcIMkNJUS5UU0U6OTY4NC5JUV9FQklUREFfRVNULkNZ</t>
  </si>
  <si>
    <t>MjAyMi4yMDE5LTA5LTIzLi4uVVNEAQAAAKl9DQACAAAAEDQ1MC4zNDc0NjM4NDA1MTkBDgAAAAUAAAACMTEBAAAAATACAAAACTcyNjg2Mzk1NwMAAAAGMTAwMTg3BAAAAAI1NgYAAAABMAcAAAADMTYwCAAAAAEwCQAAAAExCgAAAAEwCwAAAAsxMTYwODg5MjkzMAwAAAABNw0AAAAJOS8yNC8yMDE5EAAAAAk5LzIzLzIwMTnnEMEnXUDXCGLKBShdQNcIM0NJUS5UU0U6OTY4NC5JUV9SRVZFTlVFX0VTVC5DWTIwMjAuMjAxOS0wOS0yMy4uLlVTRAEAAACpfQ0AAgAAABAyOTM1LjgzODU0MDkzNjE1AQ4AAAAFAAAAAjExAQAAAAEwAgAAAAk3MjY4NjM5NTUDAAAABjEwMDE4MAQAAAACNTYGAAAAATAHAAAAAzE2MAgAAAABMAkAAAABMQoAAAABMAsAAAALMTE2MDg4MDgxMzEMAAAAATcNAAAACTkvMjQvMjAxORAAAAAJOS8yMy8yMDE55xDBJ11A1whxaAMoXUDXCCFDSVEuSVFUUjIzMzM3ODQzOS5JUV9UUl9CVVlFUk5BTUUBAAAAhxLpDQMAAAAqU29mdEJhbmsgTW9iaWxlIENvcnAuIChua2E6U29mdEJhbmsgQ29ycC4pAOcQwSddQNcIt6P+J11A1wgWQ0lRLi5JUV9UUl9DTE9TRURfREFURQUAAAAAAAAACAAAABQoSW52YWxpZCBJZGVudGlmaWVyKecQwSddQNcIcWgDKF1A1wgyQ0lRLktPU0U6QTI1MTI3MC5JUV9FQklUREEuQ1kyMDE1LjIwMTktMDktMjMuLi5VU0QBAAAAWe4vCQIAAAAKMjA4LjQ1MDc1MwEI</t>
  </si>
  <si>
    <t>AAAABQAAAAExAQAAAAoxODMzMDU5MDUyAwAAAAMxNjACAAAABDQwNTEEAAAAATAHAAAACTkvMjMvMjAxOQgAAAAKMTIvMzEvMjAxNQkAAAABMOcQwSddQNcIcWgDKF1A1wguQ0lRLk5BU0RBUUdTOlRUV08uSVFfQ0xPU0VQUklDRS4yMDE5LTA5LTIzLlVTRAEAAABRqgUAAgAAAAYxMjUuNzMA5xDBJ11A1whxaAMoXUDXCC1DSVEuTkFTREFRR1M6RUEuSVFfR1AuQ1kyMDE2LjIwMTktMDktMjMuLi5VU0QBAAAAO20AAAIAAAAEMzMwNAEIAAAABQAAAAExAQAAAAoxODczMjY3NDAwAwAAAAMxNjACAAAAAjEwBAAAAAEwBwAAAAk5LzIzLzIwMTkIAAAACjEyLzMxLzIwMTYJAAAAATDnEMEnXUDXCAMGAShdQNcILkNJUS5UU0U6OTY4NC5JUV9FQklUREEuSVFfTFRNLjIwMTktMDktMjMuLi5VU0QBAAAAqX0NAAIAAAAKMzIwLjYzMzY3NQEIAAAABQAAAAExAQAAAAoxOTc1NzkyNjQzAwAAAAMxNjACAAAABDQwNTEEAAAAATAHAAAACTkvMjMvMjAxOQgAAAAJNi8zMC8yMDE5CQAAAAEw5xDBJ11A1wi3o/4nXUDXCClDSVEuVFNFOjc5NzQuSVFfQ0xPU0VQUklDRS4yMDE3LTA4LTI5LlVTRAEAAACkXQ0AAgAAAAozMzUuNDAwODczAOcQwSddQNcIAwYBKF1A1wgsQ0lRLlRTRTo3OTc0LklRX1RFVl9FQklUREEuSVFfTFRNLjIwMTctMTItMjYBAAAApF0NAAIAAAAJNDEuMDQ2NTIxAQcAAAAFAAAAATEBAAAACjE4NjU3</t>
  </si>
  <si>
    <t>OTIzNjMDAAAAATACAAAABjEwMDAzMAQAAAABMAcAAAAKMTIvMjYvMjAxNwgAAAAKMTIvMjYvMjAxN+cQwSddQNcIa0H8J11A1wgsQ0lRLlRTRTo3OTc0LklRX1RFVl9FQklUREEuSVFfTFRNLjIwMTktMDEtMjkBAAAApF0NAAIAAAAJMTQuOTI1MjM3AQcAAAAFAAAAATEBAAAACjE5MjE1MTg0MjMDAAAAATACAAAABjEwMDAzMAQAAAABMAcAAAAJMS8yOS8yMDE5CAAAAAkxLzI5LzIwMTnnEMEnXUDXCHFoAyhdQNcILENJUS5UU0U6Nzk3NC5JUV9URVZfRUJJVERBLklRX0xUTS4yMDE4LTAxLTIzAQAAAKRdDQACAAAACTUwLjY1NTk5NQEHAAAABQAAAAExAQAAAAoxODY1NzkyMzYzAwAAAAEwAgAAAAYxMDAwMzAEAAAAATAHAAAACTEvMjMvMjAxOAgAAAAJMS8yMy8yMDE45xDBJ11A1whrQfwnXUDXCCxDSVEuVFNFOjc5NzQuSVFfVEVWX0VCSVREQS5JUV9MVE0uMjAxNi0xMS0wMQEAAACkXQ0AAgAAAAc1NS4yNDg1AQcAAAAFAAAAATEBAAAACjE4MTQ1NjcxMDgDAAAAATACAAAABjEwMDAzMAQAAAABMAcAAAAJMTEvMS8yMDE2CAAAAAkxMS8xLzIwMTbnEMEnXUDXCGtB/CddQNcIKUNJUS5UU0U6Nzk3NC5JUV9DTE9TRVBSSUNFLjIwMTctMDItMDcuVVNEAQAAAKRdDQACAAAACjIwNy4xMTQ4NDcA5xDBJ11A1wi3o/4nXUDXCClDSVEuVFNFOjc5NzQuSVFfQ0xPU0VQUklDRS4yMDE4LTA4LTE0LlVTRAEAAACk</t>
  </si>
  <si>
    <t>XQ0AAgAAAAozMjMuOTY1OTA3AOcQwSddQNcIcWgDKF1A1wgpQ0lRLlRTRTo3OTc0LklRX0NMT1NFUFJJQ0UuMjAxNi0wMy0yMi5VU0QBAAAApF0NAAIAAAAKMTQ3LjU2MDc2NQDnEMEnXUDXCGtB/CddQNcIKUNJUS5UU0U6Nzk3NC5JUV9DTE9TRVBSSUNFLjIwMTktMDEtMDguVVNEAQAAAKRdDQACAAAACjI3Ni40NzgxNjYA5xDBJ11A1wi3o/4nXUDXCC1DSVEuTkFTREFRR1M6RUEuSVFfVEVWLjQyMzY5LjIwMTktMDktMjMuLi5VU0QBAAAAO20AAAIAAAAMMTkxOTIuNzE0OTAyAQYAAAAFAAAAATEBAAAACjE3NjQwODU0MzIDAAAAAzE2MAIAAAAGMTAwMDYwBAAAAAEwBwAAAAoxMi8zMS8yMDE15xDBJ11A1whrQfwnXUDXCDZDSVEuVFNFOjM2NTkuSVFfRElMVVRfRVBTX0VYQ0wuSVFfTFRNLjIwMTktMDktMjMuLi5VU0QBAAAAnh+CCAIAAAAHMS4wMzkwOQEIAAAABQAAAAExAQAAAAoxOTc1NzkyNDM3AwAAAAMxNjACAAAAAzE0MgQAAAABMAcAAAAJOS8yMy8yMDE5CAAAAAk2LzMwLzIwMTkJAAAAATDnEMEnXUDXCLej/iddQNcILENJUS5FTlhUUEE6VUJJLklRX0dQLkNZMjAxNy4yMDE5LTA5LTIzLi4uVVNEAQAAABl2DQACAAAACzE2NzMuNjk5NTY4AQgAAAAFAAAAATEBAAAACjE5Njg0NjI4OTEDAAAAAzE2MAIAAAACMTAEAAAAATAHAAAACTkvMjMvMjAxOQgAAAAKMTIvMzEvMjAxNwkAAAABMOcQwSdd</t>
  </si>
  <si>
    <t>QNcIa0H8J11A1wgtQ0lRLk5BU0RBUUdTOkVBLklRX1RFVi40NDE5Ni4yMDE5LTA5LTIzLi4uVVNEAQAAADttAAACAAAADDI0OTgyLjM4MTQ2NgEGAAAABQAAAAExAQAAAAoxOTc0MjM1MzQ5AwAAAAMxNjACAAAABjEwMDA2MAQAAAABMAcAAAAJOS8yMy8yMDE55xDBJ11A1whiygUoXUDXCC5DSVEuVFNFOjM2NTkuSVFfRUJJVERBLkNZMjAxNi4yMDE5LTA5LTIzLi4uVVNEAQAAAJ4fgggCAAAACjY0OS41MTYwMjMBCAAAAAUAAAABMQEAAAAKMTgzNTA0MjkwNwMAAAADMTYwAgAAAAQ0MDUxBAAAAAEwBwAAAAk5LzIzLzIwMTkIAAAACjEyLzMxLzIwMTYJAAAAATDnEMEnXUDXCAMGAShdQNcIN0NJUS5UU0U6Nzk3NC5JUV9FRkZFQ1RfVEFYX1JBVEUuQ1kyMDE2LjIwMTktMDktMjMuLi5VU0QBAAAApF0NAAIAAAAGNy44MTc0AQgAAAAFAAAAATEBAAAACjE4Mjc3Njc3OTcDAAAAAjc5AgAAAAQ0Mzc2BAAAAAEwBwAAAAk5LzIzLzIwMTkIAAAACjEyLzMxLzIwMTYJAAAAATCnmconXUDXCGLKBShdQNcIMUNJUS5UU0U6Nzk3NC5JUV9SRF9FWFBfRk4uQ1kyMDE2LjIwMTktMDktMjMuLi5VU0QBAAAApF0NAAIAAAAINTkxLjU3MTcBCAAAAAUAAAABMQEAAAAKMTgyNzc2Nzc5NwMAAAADMTYwAgAAAAQzMTY4BAAAAAEwBwAAAAk5LzIzLzIwMTkIAAAACjEyLzMxLzIwMTYJAAAAATCnmconXUDXCGLKBShdQNcIKUNJ</t>
  </si>
  <si>
    <t>US5UU0U6Nzk3NC5JUV9DTE9TRVBSSUNFLjIwMTctMDktMDUuVVNEAQAAAKRdDQACAAAACjMyOS44MjY4MzQA5xDBJ11A1whrQfwnXUDXCCdDSVEuRU5YVFBBOlVCSS5JUV9URVYuLjIwMTktMDktMjMuLi5VU0QBAAAAGXYNAAIAAAALODc2OS42NTkxMDgBBgAAAAUAAAABMQEAAAAKMTk2ODQ2Mjg2OQMAAAADMTYwAgAAAAYxMDAwNjAEAAAAATAHAAAACTkvMjMvMjAxOecQwSddQNcIa0H8J11A1wgwQ0lRLkVOWFRQQTpVQkkuSVFfRUJJVERBLkNZMjAxNi4yMDE5LTA5LTIzLi4uVVNEAQAAABl2DQACAAAACjcxNS44ODM1NjQBCAAAAAUAAAABMQEAAAAKMTg5MzUxNDU3NgMAAAADMTYwAgAAAAQ0MDUxBAAAAAEwBwAAAAk5LzIzLzIwMTkIAAAACjEyLzMxLzIwMTYJAAAAATDnEMEnXUDXCHFoAyhdQNcIL0NJUS5OQVNEQVFHUzpUVFdPLklRX1RFVi40NDU2MS4yMDE5LTA5LTIzLi4uVVNEAQAAAFGqBQACAAAACzEyMDcxLjQ3MTUyAQYAAAAFAAAAATEBAAAACjE5NzQzMDI0ODgDAAAAAzE2MAIAAAAGMTAwMDYwBAAAAAEwBwAAAAk5LzIzLzIwMTnnEMEnXUDXCGtB/CddQNcIKUNJUS5UU0U6Nzk3NC5JUV9DTE9TRVBSSUNFLjIwMTktMDgtMjcuVVNEAQAAAKRdDQACAAAACjM4MC4yODM4MTEAp5nKJ11A1wgDBgEoXUDXCC9DSVEuVFNFOjk2ODQuSVFfUEVfRVhDTC5JUV9MVE0uMjAxOS0wOS0yMy4uLlVTRAEA</t>
  </si>
  <si>
    <t>AACpfQ0AAgAAAAkzMy40ODgyNjQBBwAAAAUAAAABMQEAAAAKMTk3NTc5MjY0MwMAAAABMAIAAAAGMTAwMDI3BAAAAAEwBwAAAAk5LzIwLzIwMTkIAAAACTkvMjAvMjAxOecQwSddQNcIYsoFKF1A1wgsQ0lRLlRTRTo3OTc0LklRX1RFVl9FQklUREEuSVFfTFRNLjIwMTYtMDgtMjMBAAAApF0NAAIAAAAINTAuNjAzODYBBwAAAAUAAAABMQEAAAAKMTgwMjc3Njc3NQMAAAABMAIAAAAGMTAwMDMwBAAAAAEwBwAAAAk4LzIzLzIwMTYIAAAACTgvMjMvMjAxNucQwSddQNcIAwYBKF1A1wgzQ0lRLktPU0U6QTI1MTI3MC5JUV9QRV9FWENMLklRX0xUTS4yMDE5LTA5LTIzLi4uVVNEAQAAAFnuLwkCAAAACTYxLjMwMjk3NwEHAAAABQAAAAExAQAAAAoxOTgxMTcwMDUyAwAAAAEwAgAAAAYxMDAwMjcEAAAAATAHAAAACTkvMjMvMjAxOQgAAAAJOS8yMy8yMDE55xDBJ11A1whxaAMoXUDXCClDSVEuVFNFOjc5NzQuSVFfQ0xPU0VQUklDRS4yMDE5LTA0LTIzLlVTRAEAAACkXQ0AAgAAAAozMzIuMDk3MzcyAOcQwSddQNcIcWgDKF1A1wgsQ0lRLlRTRTo3OTc0LklRX1RFVl9FQklUREEuSVFfTFRNLjIwMTUtMDktMDgBAAAApF0NAAIAAAAJNDAuODExNzc2AQcAAAAFAAAAATEBAAAACjE3NDk4NTcwOTcDAAAAATACAAAABjEwMDAzMAQAAAABMAcAAAAIOS84LzIwMTUIAAAACDkvOC8yMDE15xDBJ11A1whrQfwnXUDXCCFD</t>
  </si>
  <si>
    <t>SVEuSVFUUjYwNTQwMDM2NC5JUV9DT01QQU5ZX05BTUUBAAAAGXYNAAMAAAAYVWJpc29mdCBFbnRlcnRhaW5tZW50IFNBAOcQwSddQNcIcWgDKF1A1wgiQ0lRLklRVFIyMzMzNzg0MzkuSVFfVFJfVE9UQUxWQUxVRQEAAACHEukNAgAAAAoyNDk3Ni4yNTg0AQYAAAAFAAAAAjU0AQAAAAYxMDA1MDQCAAAACTIzMzM3ODQzOQMAAAAJMjMzMzc4NDM5BAAAAAI3OQYAAAAFRmFsc2XnEMEnXUDXCAMGAShdQNcIKkNJUS5UU0U6Nzk3NC5JUV9URVYuNDI3MzUuMjAxOS0wOS0yMy4uLlVTRAEAAACkXQ0AAgAAAAwxNzc5NC42MjMzMDIBBgAAAAUAAAABMQEAAAAKMTgxODA2MjYyMQMAAAADMTYwAgAAAAYxMDAwNjAEAAAAATAHAAAACjEyLzMxLzIwMTbnEMEnXUDXCHFoAyhdQNcINENJUS5OQVNEQVFHUzpFQS5JUV9UT1RBTF9SRVYuQ1kyMDE4LjIwMTktMDktMjMuLi5VU0QBAAAAO20AAAIAAAAENTI5NAEIAAAABQAAAAExAQAAAAoxOTQzOTE1MDIyAwAAAAMxNjACAAAAAjI4BAAAAAEwBwAAAAk5LzIzLzIwMTkIAAAACjEyLzMxLzIwMTgJAAAAATDnEMEnXUDXCAMGAShdQNcIKUNJUS5UU0U6Nzk3NC5JUV9DTE9TRVBSSUNFLjIwMTgtMDItMjAuVVNEAQAAAKRdDQACAAAACjQzNy42NzE4NDkA5xDBJ11A1whrQfwnXUDXCDVDSVEuS09TRTpBMjUxMjcwLklRX1RPVEFMX1JFVi5DWTIwMTYuMjAxOS0wOS0yMy4uLlVT</t>
  </si>
  <si>
    <t>RAEAAABZ7i8JAgAAAAsxMjQ1Ljk3NDU5MgEIAAAABQAAAAExAQAAAAoxODgwMjYyMTMyAwAAAAMxNjACAAAAAjI4BAAAAAEwBwAAAAk5LzIzLzIwMTkIAAAACjEyLzMxLzIwMTYJAAAAATDnEMEnXUDXCGtB/CddQNcIKUNJUS5UU0U6Nzk3NC5JUV9DTE9TRVBSSUNFLjIwMTgtMDUtMDEuVVNEAQAAAKRdDQACAAAACjQyMC44NDE1MDUA5xDBJ11A1wi3o/4nXUDXCCxDSVEuRU5YVFBBOlVCSS5JUV9HUC5DWTIwMTYuMjAxOS0wOS0yMy4uLlVTRAEAAAAZdg0AAgAAAAsxMjQwLjQwMDYxMwEIAAAABQAAAAExAQAAAAoxODkzNTE0NTc2AwAAAAMxNjACAAAAAjEwBAAAAAEwBwAAAAk5LzIzLzIwMTkIAAAACjEyLzMxLzIwMTYJAAAAATDnEMEnXUDXCGtB/CddQNcILkNJUS5UU0U6Nzk3NC5JUV9FQklUREEuQ1kyMDE4LjIwMTktMDktMjMuLi5VU0QBAAAApF0NAAIAAAALMjI4NS4xMjUwOTgBCAAAAAUAAAABMQEAAAAKMTk0NDU5NzY1OAMAAAADMTYwAgAAAAQ0MDUxBAAAAAEwBwAAAAk5LzIzLzIwMTkIAAAACjEyLzMxLzIwMTgJAAAAATCnmconXUDXCGLKBShdQNcIJUNJUS5UU0U6MzY1OS5JUV9URVYuLjIwMTktMDktMjMuLi5VU0QBAAAAnh+CCAIAAAALNzAxMS4zMDQwMDYBBgAAAAUAAAABMQEAAAAKMTk3NTc4NjYyMgMAAAADMTYwAgAAAAYxMDAwNjAEAAAAATAHAAAACTkvMjAvMjAxOecQwSddQNcIa0H8</t>
  </si>
  <si>
    <t>J11A1wgsQ0lRLlRTRTo3OTc0LklRX1RFVl9FQklUREEuSVFfTFRNLjIwMTgtMDMtMDYBAAAApF0NAAIAAAAJMjYuMjI5NjgyAQcAAAAFAAAAATEBAAAACjE4NzQxOTMzNDADAAAAATACAAAABjEwMDAzMAQAAAABMAcAAAAIMy82LzIwMTgIAAAACDMvNi8yMDE45xDBJ11A1wi3o/4nXUDXCClDSVEuVFNFOjc5NzQuSVFfQ0xPU0VQUklDRS4yMDE2LTAxLTI2LlVTRAEAAACkXQ0AAgAAAAoxMzMuMzk1MjQ1AOcQwSddQNcIa0H8J11A1wgpQ0lRLlRTRTo3OTc0LklRX0NMT1NFUFJJQ0UuMjAxOC0wMy0yMC5VU0QBAAAApF0NAAIAAAAKNDUzLjA1NTMwNQDnEMEnXUDXCGtB/CddQNcIKUNJUS5UU0U6Nzk3NC5JUV9DTE9TRVBSSUNFLjIwMTYtMDktMjcuVVNEAQAAAKRdDQACAAAACjI2OS4wMzE3NDYA5xDBJ11A1wgDBgEoXUDXCClDSVEuVFNFOjc5NzQuSVFfQ0xPU0VQUklDRS4yMDE4LTExLTA2LlVTRAEAAACkXQ0AAgAAAAkzMTEuNzIyNjkA5xDBJ11A1whxaAMoXUDXCClDSVEuVFNFOjc5NzQuSVFfQ0xPU0VQUklDRS4yMDE4LTA4LTIxLlVTRAEAAACkXQ0AAgAAAAkzMzUuMDg0MjEA5xDBJ11A1wi3o/4nXUDXCC9DSVEuTkFTREFRR1M6QVRWSS5JUV9URVYuNDQxOTYuMjAxOS0wOS0yMy4uLlVTRAEAAAAXbUAAAgAAAAwzOTg0OS40NjU0MjkBBgAAAAUAAAABMQEAAAAKMTk3NTAzODc5OQMAAAADMTYwAgAA</t>
  </si>
  <si>
    <t>AAYxMDAwNjAEAAAAATAHAAAACTkvMjMvMjAxOecQwSddQNcIa0H8J11A1wgpQ0lRLlRTRTo3OTc0LklRX0NMT1NFUFJJQ0UuMjAxNS0wNi0xNi5VU0QBAAAApF0NAAIAAAAKMTY0LjkxMDg2NQDnEMEnXUDXCGtB/CddQNcIKUNJUS5UU0U6Nzk3NC5JUV9DTE9TRVBSSUNFLjIwMTYtMDYtMTQuVVNEAQAAAKRdDQACAAAACjE0My42MTE3NDYA5xDBJ11A1whrQfwnXUDXCDVDSVEuS09TRTpBMjUxMjcwLklRX1RPVEFMX1JFVi5DWTIwMTcuMjAxOS0wOS0yMy4uLlVTRAEAAABZ7i8JAgAAAAsyMjY5LjgxODA0MwEIAAAABQAAAAExAQAAAAoxOTUwOTM2NzAwAwAAAAMxNjACAAAAAjI4BAAAAAEwBwAAAAk5LzIzLzIwMTkIAAAACjEyLzMxLzIwMTcJAAAAATDnEMEnXUDXCGtB/CddQNcILUNJUS5OQVNEQVFHUzpFQS5JUV9HUC5DWTIwMTguMjAxOS0wOS0yMy4uLlVTRAEAAAA7bQAAAgAAAAQ0MDE1AQgAAAAFAAAAATEBAAAACjE5NDM5MTUwMjIDAAAAAzE2MAIAAAACMTAEAAAAATAHAAAACTkvMjMvMjAxOQgAAAAKMTIvMzEvMjAxOAkAAAABMOcQwSddQNcIcWgDKF1A1wgsQ0lRLlRTRTo3OTc0LklRX1RFVl9FQklUREEuSVFfTFRNLjIwMTUtMTItMjkBAAAApF0NAAIAAAAJMjYuMzg5OTc0AQcAAAAFAAAAATEBAAAACjE3NjUxNTM2NzEDAAAAATACAAAABjEwMDAzMAQAAAABMAcAAAAKMTIvMjkvMjAxNQgAAAAK</t>
  </si>
  <si>
    <t>MTIvMjkvMjAxNecQwSddQNcIa0H8J11A1wgpQ0lRLlRTRTo3OTc0LklRX0NMT1NFUFJJQ0UuMjAxOC0xMi0wNC5VU0QBAAAApF0NAAIAAAAKMjkyLjEzODgwMwDnEMEnXUDXCHFoAyhdQNcIM0NJUS5FTlhUUEE6VUJJLklRX1RPVEFMX1JFVi5DWTIwMTUuMjAxOS0wOS0yMy4uLlVTRAEAAAAZdg0AAgAAAAkxNDAxLjUyMDUBCAAAAAUAAAABMQEAAAAKMTg1NTUyMjUxNgMAAAADMTYwAgAAAAIyOAQAAAABMAcAAAAJOS8yMy8yMDE5CAAAAAoxMi8zMS8yMDE1CQAAAAEw5xDBJ11A1whxaAMoXUDXCDtDSVEuS09TRTpBMjUxMjcwLklRX0VGRkVDVF9UQVhfUkFURS5JUV9MVE0uMjAxOS0wOS0yMy4uLlVTRAEAAABZ7i8JAgAAAAcyMy4zMzc1AQgAAAAFAAAAATEBAAAACjE5ODExNzAwNTIDAAAAAjg1AgAAAAQ0Mzc2BAAAAAEwBwAAAAk5LzIzLzIwMTkIAAAACTYvMzAvMjAxOQkAAAABMKeZyiddQNcIt6P+J11A1wgsQ0lRLlRTRTo3OTc0LklRX1RFVl9FQklUREEuSVFfTFRNLjIwMTctMDUtMzABAAAApF0NAAIAAAAJNTQuMTMxMDk3AQcAAAAFAAAAATEBAAAACjE4MzgyMDQwNzQDAAAAATACAAAABjEwMDAzMAQAAAABMAcAAAAJNS8zMC8yMDE3CAAAAAk1LzMwLzIwMTfnEMEnXUDXCLej/iddQNcINUNJUS5FTlhUUEE6VUJJLklRX1JFVkVOVUVfRVNULkNZMjAyMS4yMDE5LTA5LTIzLi4uVVNEAQAAABl2DQAC</t>
  </si>
  <si>
    <t>AAAAEDI3OTUuMDcyNDY1MDY0OTQBDgAAAAUAAAACMTEBAAAAATACAAAACDQ3NTE0NzE4AwAAAAYxMDAxODAEAAAAATMGAAAAATAHAAAAAzE2MAgAAAABMAkAAAABMQoAAAABMAsAAAALMTE2MTE3MTAyMDAMAAAAATcNAAAACTkvMjQvMjAxORAAAAAJOS8yMy8yMDE55xDBJ11A1whxaAMoXUDXCC9DSVEuTkFTREFRR1M6VFRXTy5JUV9HUC5DWTIwMTUuMjAxOS0wOS0yMy4uLlVTRAEAAABRqgUAAgAAAAczMDkuMzE5AQgAAAAFAAAAATEBAAAACjE4MjcwMDAxMDcDAAAAAzE2MAIAAAACMTAEAAAAATAHAAAACTkvMjMvMjAxOQgAAAAKMTIvMzEvMjAxNQkAAAABMOcQwSddQNcIAwYBKF1A1wgtQ0lRLlRTRTo5Njg0LklRX0NVU1RPTV9CRVRBLi4yMDE5LTA5LTIzLi4uVVNEAQAAAKl9DQACAAAAETAuODc4MzE2Mzk1NTcyNzUyAKeZyiddQNcIcWgDKF1A1wgsQ0lRLlRTRTo3OTc0LklRX1RFVl9FQklUREEuSVFfTFRNLjIwMTYtMDYtMjgBAAAApF0NAAIAAAAJMTcuMTQ0MzI4AQcAAAAFAAAAATEBAAAACjE3ODc5MjU4NzYDAAAAATACAAAABjEwMDAzMAQAAAABMAcAAAAJNi8yOC8yMDE2CAAAAAk2LzI4LzIwMTbnEMEnXUDXCAMGAShdQNcINkNJUS5OQVNEQVFHUzpUVFdPLklRX1RPVEFMX1JFVi5DWTIwMTUuMjAxOS0wOS0yMy4uLlVTRAEAAABRqgUAAgAAAAgxMzM2LjU4MQEIAAAABQAAAAExAQAAAAoxODI3</t>
  </si>
  <si>
    <t>MDAwMTA3AwAAAAMxNjACAAAAAjI4BAAAAAEwBwAAAAk5LzIzLzIwMTkIAAAACjEyLzMxLzIwMTUJAAAAATDnEMEnXUDXCLej/iddQNcIKkNJUS5UU0U6MzY1OS5JUV9HUC5DWTIwMTUuMjAxOS0wOS0yMy4uLlVTRAEAAACeH4IIAgAAAAsxMTY5LjQwMTA2MQEIAAAABQAAAAExAQAAAAoxNzg0NDk5MTg0AwAAAAMxNjACAAAAAjEwBAAAAAEwBwAAAAk5LzIzLzIwMTkIAAAACjEyLzMxLzIwMTUJAAAAATDnEMEnXUDXCGLKBShdQNcIKUNJUS5UU0U6Nzk3NC5JUV9DTE9TRVBSSUNFLjIwMTYtMDctMTkuVVNEAQAAAKRdDQACAAAACjI5OS4wMzk5MjIA5xDBJ11A1whxaAMoXUDXCCdDSVEuTkFTREFRR1M6VFRXTy5JUV9URVYuMjAxOS0wOS0yMy5VU0QBAAAAUaoFAAIAAAALMTIwNzEuNDcxNTIBBgAAAAUAAAABMQEAAAAKMTk3NDMwMjQ4OAMAAAADMTYwAgAAAAYxMDAwNjAEAAAAATAHAAAACTkvMjMvMjAxOecQwSddQNcIYsoFKF1A1wgyQ0lRLlRTRTo5Njg0LklRX0VCSVREQV9FU1QuQ1kyMDIwLjIwMTktMDktMjMuLi5VU0QBAAAAqX0NAAIAAAAQNDA4LjExMjUyMzk0NjQ5OQEOAAAABQAAAAIxMQEAAAABMAIAAAAJNzI2ODYzOTU1AwAAAAYxMDAxODcEAAAAAjU2BgAAAAEwBwAAAAMxNjAIAAAAATAJAAAAATEKAAAAATALAAAACzExNjA4ODkyOTU0DAAAAAE3DQAAAAk5LzI0LzIwMTkQAAAACTkvMjMvMjAx</t>
  </si>
  <si>
    <t>OecQwSddQNcIAwYBKF1A1wgpQ0lRLlRTRTo3OTc0LklRX0NMT1NFUFJJQ0UuMjAxOS0wMi0yNi5VU0QBAAAApF0NAAIAAAAKMjc1LjEzNjU3NADnEMEnXUDXCHFoAyhdQNcIKUNJUS5UU0U6Nzk3NC5JUV9DTE9TRVBSSUNFLjIwMTYtMTAtMDQuVVNEAQAAAKRdDQACAAAACjI1NC41MzQ4MzcA5xDBJ11A1whrQfwnXUDXCCFDSVEuSVFUUjMxNDIyMDA1OS5JUV9UUl9CVVlFUk5BTUUBAAAAG566EgMAAAAKVml2ZW5kaSBTQQDnEMEnXUDXCHFoAyhdQNcIKUNJUS5UU0U6Nzk3NC5JUV9DTE9TRVBSSUNFLjIwMTctMDUtMjMuVVNEAQAAAKRdDQACAAAACjI3Ny41NjA1NTcA5xDBJ11A1whxaAMoXUDXCClDSVEuVFNFOjc5NzQuSVFfQ0xPU0VQUklDRS4yMDE3LTA2LTEzLlVTRAEAAACkXQ0AAgAAAAozMTAuNTMxMzQzAOcQwSddQNcIa0H8J11A1wg1Q0lRLkVOWFRQQTpVQkkuSVFfUkVWRU5VRV9FU1QuQ1kyMDE5LjIwMTktMDktMjMuLi5VU0QBAAAAGXYNAAIAAAAQMTk5Mi42ODc0ODYwNDMwNQEOAAAABQAAAAIxMQEAAAABMAIAAAAIMTAyNTIzNDYDAAAABjEwMDE4MAQAAAABMwYAAAABMAcAAAADMTYwCAAAAAEwCQAAAAExCgAAAAEwCwAAAAsxMTU0NjM4MzA3MAwAAAABNw0AAAAJOS8yNC8yMDE5EAAAAAk5LzIzLzIwMTnnEMEnXUDXCAMGAShdQNcILENJUS5UU0U6Nzk3NC5JUV9URVZfRUJJVERBLklRX0xU</t>
  </si>
  <si>
    <t>TS4yMDE3LTExLTE0AQAAAKRdDQACAAAACDQ0LjgxMjU2AQcAAAAFAAAAATEBAAAACjE4NjU3OTIzNjMDAAAAATACAAAABjEwMDAzMAQAAAABMAcAAAAKMTEvMTQvMjAxNwgAAAAKMTEvMTQvMjAxN+cQwSddQNcIt6P+J11A1wgxQ0lRLk5BU0RBUUdTOkVBLklRX0VCSVREQS5DWTIwMTguMjAxOS0wOS0yMy4uLlVTRAEAAAA7bQAAAgAAAAQxNzAxAQgAAAAFAAAAATEBAAAACjE5NDM5MTUwMjIDAAAAAzE2MAIAAAAENDA1MQQAAAABMAcAAAAJOS8yMy8yMDE5CAAAAAoxMi8zMS8yMDE4CQAAAAEw5xDBJ11A1wi3o/4nXUDXCDhDSVEuTkFTREFRR1M6VFRXTy5JUV9SRVZFTlVFX0VTVC5DWTIwMjAuMjAxOS0wOS0yMy4uLlVTRAEAAABRqgUAAgAAAAkyNzkxLjA2NjUBDgAAAAUAAAACMTEBAAAAATACAAAABzExMTcxOTgDAAAABjEwMDE4MAQAAAABMgYAAAABMAcAAAADMTYwCAAAAAEwCQAAAAExCgAAAAEwCwAAAAsxMTYxMTI5NjU0MQwAAAABNw0AAAAJOS8yNC8yMDE5EAAAAAk5LzIzLzIwMTnnEMEnXUDXCGtB/CddQNcIKkNJUS5UU0U6OTY4NC5JUV9URVYuNDM0NjUuMjAxOS0wOS0yMy4uLlVTRAEAAACpfQ0AAgAAAAsyMzEzLjIzMDIyNAEGAAAABQAAAAExAQAAAAoxOTIyMTE1MjE0AwAAAAMxNjACAAAABjEwMDA2MAQAAAABMAcAAAAKMTIvMzEvMjAxOOcQwSddQNcIt6P+J11A1wgtQ0lRLk5BU0RBUUdT</t>
  </si>
  <si>
    <t>OkVBLklRX1RFVi40MzEwMC4yMDE5LTA5LTIzLi4uVVNEAQAAADttAAACAAAADDI4OTg2LjY0ODA5MgEGAAAABQAAAAExAQAAAAoxODY0NDM5NzUyAwAAAAMxNjACAAAABjEwMDA2MAQAAAABMAcAAAAKMTIvMzEvMjAxN+cQwSddQNcIt6P+J11A1wg0Q0lRLlRTRTo3OTc0LklRX0dST1NTX1BST0ZJVC5JUV9MVE0uMjAxOS0wOS0yMy4uLlVTRAEAAACkXQ0AAgAAAAs0NjU0LjYzNjYzOQEIAAAABQAAAAExAQAAAAoxOTc1NzkyNDcwAwAAAAMxNjACAAAAAjEwBAAAAAEwBwAAAAk5LzIzLzIwMTkIAAAACTYvMzAvMjAxOQkAAAABMKeZyiddQNcIcWgDKF1A1wgpQ0lRLlRTRTo3OTc0LklRX0NMT1NFUFJJQ0UuMjAxOC0wMi0xMy5VU0QBAAAApF0NAAIAAAAKNDEyLjk4NDgyNADnEMEnXUDXCAMGAShdQNcIKkNJUS5UU0U6OTY4NC5JUV9HUC5JUV9MVE0uMjAxOS0wOS0yMy4uLlVTRAEAAACpfQ0AAgAAAAsxMTUwLjU0OTcyOQEIAAAABQAAAAExAQAAAAoxOTc1NzkyNjQzAwAAAAMxNjACAAAAAjEwBAAAAAEwBwAAAAk5LzIzLzIwMTkIAAAACTYvMzAvMjAxOQkAAAABMOcQwSddQNcIcWgDKF1A1wgvQ0lRLk5BU0RBUUdTOkFUVkkuSVFfR1AuQ1kyMDE2LjIwMTktMDktMjMuLi5VU0QBAAAAF21AAAIAAAAENDIxNAEIAAAABQAAAAExAQAAAAoxOTQ3ODI4NzU0AwAAAAMxNjACAAAAAjEwBAAAAAEwBwAAAAk5LzIz</t>
  </si>
  <si>
    <t>LzIwMTkIAAAACjEyLzMxLzIwMTYJAAAAATDnEMEnXUDXCHFoAyhdQNcIL0NJUS5OQVNEQVFHUzpBVFZJLklRX1RFVi40MjczNS4yMDE5LTA5LTIzLi4uVVNEAQAAABdtQAACAAAADDI5MTcwLjQzNDgyNgEGAAAABQAAAAExAQAAAAoxODE2MzMzNzM3AwAAAAMxNjACAAAABjEwMDA2MAQAAAABMAcAAAAKMTIvMzEvMjAxNucQwSddQNcIYsoFKF1A1wgpQ0lRLlRTRTo3OTc0LklRX0NMT1NFUFJJQ0UuMjAxNS0wNy0yMS5VU0QBAAAApF0NAAIAAAAKMTc1LjUzNTU2OQDnEMEnXUDXCHFoAyhdQNcILUNJUS5OQVNEQVFHUzpFQS5JUV9URVYuNDM0NjUuMjAxOS0wOS0yMy4uLlVTRAEAAAA7bQAAAgAAAAwyMDI4OC45NzU0MDEBBgAAAAUAAAABMQEAAAAKMTkxOTg3MDE5MgMAAAADMTYwAgAAAAYxMDAwNjAEAAAAATAHAAAACjEyLzMxLzIwMTjnEMEnXUDXCAMGAShdQNcIKkNJUS5UU0U6MzY1OS5JUV9HUC5JUV9MVE0uMjAxOS0wOS0yMy4uLlVTRAEAAACeH4IIAgAAAAsxODY3Ljc4MzEyNQEIAAAABQAAAAExAQAAAAoxOTc1NzkyNDM3AwAAAAMxNjACAAAAAjEwBAAAAAEwBwAAAAk5LzIzLzIwMTkIAAAACTYvMzAvMjAxOQkAAAABMOcQwSddQNcIt6P+J11A1wgxQ0lRLk5BU0RBUUdTOkVBLklRX0VCSVREQS5JUV9MVE0uMjAxOS0wOS0yMy4uLlVTRAEAAAA7bQAAAgAAAAQxMjY4AQgAAAAFAAAAATEBAAAACjE5</t>
  </si>
  <si>
    <t>NzQyMzU4MTIDAAAAAzE2MAIAAAAENDA1MQQAAAABMAcAAAAJOS8yMy8yMDE5CAAAAAk2LzMwLzIwMTkJAAAAATDnEMEnXUDXCAMGAShdQNcII0NJUS5JUVRSMjMzMzc4NDM5LklRX1RSX0NMT1NFRF9EQVRFAQAAAIcS6Q0FAAAACjIwMTMtMDQtMjYA5xDBJ11A1wgDBgEoXUDXCDFDSVEuVFNFOjM2NTkuSVFfVE9UQUxfUkVWLkNZMjAxNS4yMDE5LTA5LTIzLi4uVVNEAQAAAJ4fgggCAAAACjE1ODIuODg2OTQBCAAAAAUAAAABMQEAAAAKMTc4NDQ5OTE4NAMAAAADMTYwAgAAAAIyOAQAAAABMAcAAAAJOS8yMy8yMDE5CAAAAAoxMi8zMS8yMDE1CQAAAAEw5xDBJ11A1whxaAMoXUDXCClDSVEuVFNFOjk2ODQuSVFfQ0xPU0VQUklDRS4yMDE5LTA5LTIzLlVTRAEAAACpfQ0AAgAAAAk0My40NTEyNzQA5xDBJ11A1wgDBgEoXUDXCClDSVEuVFNFOjc5NzQuSVFfQ0xPU0VQUklDRS4yMDE3LTAxLTI0LlVTRAEAAACkXQ0AAgAAAAoyMDUuMjAzOTc3AOcQwSddQNcIa0H8J11A1wg3Q0lRLlRTRTo3OTc0LklRX0NBU0hfQUNRVUlSRV9DRi5DWTIwMTUuMjAxOS0wOS0yMy4uLlVTRAEAAACkXQ0AAwAAAAAAp5nKJ11A1whiygUoXUDXCClDSVEuVFNFOjc5NzQuSVFfQ0xPU0VQUklDRS4yMDE4LTEyLTE4LlVTRAEAAACkXQ0AAgAAAAoyNzUuNTI3OTA2AOcQwSddQNcIAwYBKF1A1wgxQ0lRLlRTRTo3OTc0LklRX1RPVEFM</t>
  </si>
  <si>
    <t>X1JFVi5DWTIwMTUuMjAxOS0wOS0yMy4uLlVTRAEAAACkXQ0AAgAAAAs0NDMwLjMxNjM3NwEIAAAABQAAAAExAQAAAAoxNzc2NTg0MDQzAwAAAAMxNjACAAAAAjI4BAAAAAEwBwAAAAk5LzIzLzIwMTkIAAAACjEyLzMxLzIwMTUJAAAAATCnmconXUDXCHFoAyhdQNcILENJUS5UU0U6Nzk3NC5JUV9URVZfRUJJVERBLklRX0xUTS4yMDE1LTA1LTI2AQAAAKRdDQACAAAACTQ3LjMxNzkwOQEHAAAABQAAAAExAQAAAAoxNzMyNjYwNjYyAwAAAAEwAgAAAAYxMDAwMzAEAAAAATAHAAAACTUvMjYvMjAxNQgAAAAJNS8yNi8yMDE15xDBJ11A1whxaAMoXUDXCCxDSVEuVFNFOjc5NzQuSVFfVEVWX0VCSVREQS5JUV9MVE0uMjAxNy0wNC0xOAEAAACkXQ0AAgAAAAk1MC41OTM2NjYBBwAAAAUAAAABMQEAAAAKMTgyNzc2Nzc5NwMAAAABMAIAAAAGMTAwMDMwBAAAAAEwBwAAAAk0LzE4LzIwMTcIAAAACTQvMTgvMjAxN+cQwSddQNcIa0H8J11A1wghQ0lRLklRVFIzMjc2NDQ4OTIuSVFfVFJfQlVZRVJOQU1FAQAAANx2hxMDAAAAEU91cnBhbG0gQ28uLCBMdGQuAOcQwSddQNcIa0H8J11A1whCQ0lRLlRTRTo3OTc0LklRX0NIQU5HRV9ORVRfV09SS0lOR19DQVBJVEFMLkNZMjAxNi4yMDE5LTA5LTIzLi4uVVNEAQAAAKRdDQACAAAACi02OC41OTEwMDIBCAAAAAUAAAABMQEAAAAKMTgyNzc2Nzc5NwMAAAADMTYwAgAAAAQ0</t>
  </si>
  <si>
    <t>NDIxBAAAAAEwBwAAAAk5LzIzLzIwMTkIAAAACjEyLzMxLzIwMTYJAAAAATCnmconXUDXCGLKBShdQNcILENJUS5UU0U6Nzk3NC5JUV9URVZfRUJJVERBLklRX0xUTS4yMDE5LTA1LTIxAQAAAKRdDQACAAAACTEyLjk0NjMxOQEHAAAABQAAAAExAQAAAAoxOTU2NzQ4MDg2AwAAAAEwAgAAAAYxMDAwMzAEAAAAATAHAAAACTUvMjEvMjAxOQgAAAAJNS8yMS8yMDE55xDBJ11A1whiygUoXUDXCCxDSVEuVFNFOjc5NzQuSVFfVEVWX0VCSVREQS5JUV9MVE0uMjAxNS0xMS0xNwEAAACkXQ0AAgAAAAkzMi43MTExNjMBBwAAAAUAAAABMQEAAAAKMTc2NTE1MzY3MQMAAAABMAIAAAAGMTAwMDMwBAAAAAEwBwAAAAoxMS8xNy8yMDE1CAAAAAoxMS8xNy8yMDE15xDBJ11A1wgDBgEoXUDXCClDSVEuVFNFOjc5NzQuSVFfQ0xPU0VQUklDRS4yMDE3LTA2LTIwLlVTRAEAAACkXQ0AAgAAAAozMzUuNTg4NTE0AOcQwSddQNcIcWgDKF1A1wgrQ0lRLlRTRTo3OTc0LklRX0NPTVBBTllfTkFNRS4yMDE5LTA5LTIzLlVTRAEAAACkXQ0AAwAAABJOaW50ZW5kbyBDby4sIEx0ZC4A5xDBJ11A1whxaAMoXUDXCC5DSVEuS09TRTpBMjUxMjcwLklRX1RFVi40NDE5Ni4yMDE5LTA5LTIzLi4uVVNEAQAAAFnuLwkCAAAACzUyMjguNjIyOTY5AQYAAAAFAAAAATEBAAAACjE5ODExNTY1NDADAAAAAzE2MAIAAAAGMTAwMDYwBAAAAAEwBwAA</t>
  </si>
  <si>
    <t>AAk5LzIzLzIwMTnnEMEnXUDXCAMGAShdQNcIKUNJUS5UU0U6Nzk3NC5JUV9DTE9TRVBSSUNFLjIwMTUtMDctMDcuVVNEAQAAAKRdDQACAAAACjE2Ni42NTMwMTYA5xDBJ11A1wgDBgEoXUDXCCxDSVEuVFNFOjc5NzQuSVFfVEVWX0VCSVREQS5JUV9MVE0uMjAxOC0wOS0xMQEAAACkXQ0AAgAAAAkxOC42NjUxMjgBBwAAAAUAAAABMQEAAAAKMTkwMDI3Mjc5NgMAAAABMAIAAAAGMTAwMDMwBAAAAAEwBwAAAAk5LzExLzIwMTgIAAAACTkvMTEvMjAxOOcQwSddQNcIYsoFKF1A1wgsQ0lRLlRTRTo3OTc0LklRX1RFVl9FQklUREEuSVFfTFRNLjIwMTctMDktMTIBAAAApF0NAAIAAAAJNDMuNjQwNjY1AQcAAAAFAAAAATEBAAAACjE4NTQwNDM4ODgDAAAAATACAAAABjEwMDAzMAQAAAABMAcAAAAJOS8xMi8yMDE3CAAAAAk5LzEyLzIwMTfnEMEnXUDXCGLKBShdQNcIKUNJUS5UU0U6Nzk3NC5JUV9DTE9TRVBSSUNFLjIwMTYtMDktMDYuVVNEAQAAAKRdDQACAAAACjIzMC4xMzc3ODMA5xDBJ11A1whrQfwnXUDXCCpDSVEuVFNFOjM2NTkuSVFfVEVWLjQ0NTYxLjIwMTktMDktMjMuLi5VU0QBAAAAnh+CCAIAAAALNzAxMS4zMDQwMDYBBgAAAAUAAAABMQEAAAAKMTk3NTc4NjYyMgMAAAADMTYwAgAAAAYxMDAwNjAEAAAAATAHAAAACTkvMjAvMjAxOecQwSddQNcIAwYBKF1A1wgpQ0lRLlRTRTo3OTc0LklRX0NMT1NF</t>
  </si>
  <si>
    <t>UFJJQ0UuMjAxOC0wNC0wMy5VU0QBAAAApF0NAAIAAAAKNDM0LjMzNzczOQDnEMEnXUDXCLej/iddQNcIMENJUS5OQVNEQVFHUzpBVFZJLklRX0NPTVBBTllfTkFNRS4yMDE5LTA5LTIzLlVTRAEAAAAXbUAAAwAAABlBY3RpdmlzaW9uIEJsaXp6YXJkLCBJbmMuAOcQwSddQNcIcWgDKF1A1wgzQ0lRLlRTRTo3OTc0LklRX1JFVkVOVUVfRVNULkNZMjAyMS4yMDE5LTA5LTIzLi4uVVNEAQAAAKRdDQACAAAAEDEyMzI1LjEwMzIwMzU5ODUBDgAAAAUAAAACMTEBAAAAATACAAAACTY1MjkxNDE4MAMAAAAGMTAwMTgwBAAAAAI1NgYAAAABMAcAAAADMTYwCAAAAAEwCQAAAAExCgAAAAEwCwAAAAsxMTU0MTUwOTk0NQwAAAABNw0AAAAJOS8yNC8yMDE5EAAAAAk5LzIzLzIwMTnnEMEnXUDXCHFoAyhdQNcILENJUS5UU0U6Nzk3NC5JUV9URVZfRUJJVERBLklRX0xUTS4yMDE4LTEwLTAyAQAAAKRdDQACAAAACTIwLjQxMzczNwEHAAAABQAAAAExAQAAAAoxOTAwMjcyNzk2AwAAAAEwAgAAAAYxMDAwMzAEAAAAATAHAAAACTEwLzIvMjAxOAgAAAAJMTAvMi8yMDE45xDBJ11A1whrQfwnXUDXCCxDSVEuVFNFOjc5NzQuSVFfVEVWX0VCSVREQS5JUV9MVE0uMjAxNy0wOC0xNQEAAACkXQ0AAgAAAAk0MS44MzQ3OTIBBwAAAAUAAAABMQEAAAAKMTg1NDA0Mzg4OAMAAAABMAIAAAAGMTAwMDMwBAAAAAEwBwAAAAk4LzE1LzIw</t>
  </si>
  <si>
    <t>MTcIAAAACTgvMTUvMjAxN+cQwSddQNcIYsoFKF1A1wgsQ0lRLkVOWFRQQTpVQkkuSVFfVEVWLjQzODMwLjIwMTktMDktMjMuLi5VU0QBAAAAGXYNAAIAAAALODc2OS42NTkxMDgBBgAAAAUAAAABMQEAAAAKMTk2ODQ2Mjg2OQMAAAADMTYwAgAAAAYxMDAwNjAEAAAAATAHAAAACTkvMjMvMjAxOecQwSddQNcIt6P+J11A1wgxQ0lRLlRTRTo3OTc0LklRX1RPVEFMX1JFVi5DWTIwMTYuMjAxOS0wOS0yMy4uLlVTRAEAAACkXQ0AAgAAAAszMzM5Ljc1MTQxNAEIAAAABQAAAAExAQAAAAoxODI3NzY3Nzk3AwAAAAMxNjACAAAAAjI4BAAAAAEwBwAAAAk5LzIzLzIwMTkIAAAACjEyLzMxLzIwMTYJAAAAATCnmconXUDXCGLKBShdQNcIKUNJUS5UU0U6Nzk3NC5JUV9DTE9TRVBSSUNFLjIwMTctMDItMTQuVVNEAQAAAKRdDQACAAAACjIwMy40OTk1NTQA5xDBJ11A1wgDBgEoXUDXCCxDSVEuVFNFOjc5NzQuSVFfVEVWX0VCSVREQS5JUV9MVE0uMjAxOS0wNS0xNAEAAACkXQ0AAgAAAAgxMi41MTY3NAEHAAAABQAAAAExAQAAAAoxOTU2NzQ4MDg2AwAAAAEwAgAAAAYxMDAwMzAEAAAAATAHAAAACTUvMTQvMjAxOQgAAAAJNS8xNC8yMDE55xDBJ11A1whrQfwnXUDXCC1DSVEuTkFTREFRR1M6RUEuSVFfVEVWLjQzODMwLjIwMTktMDktMjMuLi5VU0QBAAAAO20AAAIAAAAMMjQ5ODIuMzgxNDY2AQYAAAAFAAAAATEBAAAA</t>
  </si>
  <si>
    <t>CjE5NzQyMzUzNDkDAAAAAzE2MAIAAAAGMTAwMDYwBAAAAAEwBwAAAAk5LzIzLzIwMTnnEMEnXUDXCHFoAyhdQNcILkNJUS5LT1NFOkEyNTEyNzAuSVFfR1AuSVFfTFRNLjIwMTktMDktMjMuLi5VU0QBAAAAWe4vCQIAAAALMTc0Mi42Njc1ODMBCAAAAAUAAAABMQEAAAAKMTk4MTE3MDA1MgMAAAADMTYwAgAAAAIxMAQAAAABMAcAAAAJOS8yMy8yMDE5CAAAAAk2LzMwLzIwMTkJAAAAATDnEMEnXUDXCAMGAShdQNcIKUNJUS5UU0U6Nzk3NC5JUV9DTE9TRVBSSUNFLjIwMTgtMDYtMTIuVVNEAQAAAKRdDQACAAAACjM3OC40NTkzMTQA5xDBJ11A1whrQfwnXUDXCClDSVEuVFNFOjc5NzQuSVFfQ0xPU0VQUklDRS4yMDE4LTA5LTExLlVTRAEAAACkXQ0AAgAAAAozNTEuMDg5NjA1AOcQwSddQNcIcWgDKF1A1wguQ0lRLktPU0U6QTI1MTI3MC5JUV9URVYuNDIzNjkuMjAxOS0wOS0yMy4uLlVTRAEAAABZ7i8JAwAAAAAA5xDBJ11A1whiygUoXUDXCCtDSVEuVFNFOjk2ODQuSVFfQ09NUEFOWV9OQU1FLjIwMTktMDktMjMuVVNEAQAAAKl9DQADAAAAHlNxdWFyZSBFbml4IEhvbGRpbmdzIENvLiwgTHRkLgDnEMEnXUDXCLej/iddQNcILENJUS5UU0U6Nzk3NC5JUV9URVZfRUJJVERBLklRX0xUTS4yMDE5LTAyLTA1AQAAAKRdDQACAAAACTEwLjg1MTY3MwEHAAAABQAAAAExAQAAAAoxOTQzMzU4MDQ3AwAAAAEwAgAA</t>
  </si>
  <si>
    <t>AAYxMDAwMzAEAAAAATAHAAAACDIvNS8yMDE5CAAAAAgyLzUvMjAxOecQwSddQNcIt6P+J11A1wgpQ0lRLlRTRTo3OTc0LklRX0NMT1NFUFJJQ0UuMjAxNS0wNi0wOS5VU0QBAAAApF0NAAIAAAAJMTYyLjUyMzE0AOcQwSddQNcIAwYBKF1A1wgqQ0lRLlRTRTozNjU5LklRX1RFVi40MjM2OS4yMDE5LTA5LTIzLi4uVVNEAQAAAJ4fgggCAAAACjU1MTYuMDUwMTUBBgAAAAUAAAABMQEAAAAKMTc2NTQxMDM3NwMAAAADMTYwAgAAAAYxMDAwNjAEAAAAATAHAAAACjEyLzMxLzIwMTXnEMEnXUDXCAMGAShdQNcILENJUS5UU0U6Nzk3NC5JUV9URVZfRUJJVERBLklRX0xUTS4yMDE3LTA4LTIyAQAAAKRdDQACAAAACTQxLjAxOTIzNgEHAAAABQAAAAExAQAAAAoxODU0MDQzODg4AwAAAAEwAgAAAAYxMDAwMzAEAAAAATAHAAAACTgvMjIvMjAxNwgAAAAJOC8yMi8yMDE35xDBJ11A1wi3o/4nXUDXCCxDSVEuVFNFOjc5NzQuSVFfVEVWX0VCSVREQS5JUV9MVE0uMjAxNy0wOS0wNQEAAACkXQ0AAgAAAAk0MC43NTcwOTMBBwAAAAUAAAABMQEAAAAKMTg1NDA0Mzg4OAMAAAABMAIAAAAGMTAwMDMwBAAAAAEwBwAAAAg5LzUvMjAxNwgAAAAIOS81LzIwMTfnEMEnXUDXCGtB/CddQNcIL0NJUS5OQVNEQVFHUzpUVFdPLklRX1RFVi40MzQ2NS4yMDE5LTA5LTIzLi4uVVNEAQAAAFGqBQACAAAADDEwNjkyLjE3NzY1NwEGAAAA</t>
  </si>
  <si>
    <t>BQAAAAExAQAAAAoxOTIwNTA0ODY0AwAAAAMxNjACAAAABjEwMDA2MAQAAAABMAcAAAAKMTIvMzEvMjAxOOcQwSddQNcIcWgDKF1A1wgxQ0lRLlRTRTo3OTc0LklRX1RPVEFMX1JFVi5DWTIwMTguMjAxOS0wOS0yMy4uLlVTRAEAAACkXQ0AAgAAAAwxMDkwMC42NTE2OTYBCAAAAAUAAAABMQEAAAAKMTk0NDU5NzY1OAMAAAADMTYwAgAAAAIyOAQAAAABMAcAAAAJOS8yMy8yMDE5CAAAAAoxMi8zMS8yMDE4CQAAAAEwp5nKJ11A1whiygUoXUDXCClDSVEuVFNFOjc5NzQuSVFfQ0xPU0VQUklDRS4yMDE2LTA1LTI0LlVTRAEAAACkXQ0AAgAAAAoxNDMuNTY1MjU0AOcQwSddQNcIcWgDKF1A1wgpQ0lRLlRTRTo3OTc0LklRX0NMT1NFUFJJQ0UuMjAxOS0wMy0xMi5VU0QBAAAApF0NAAIAAAAKMjc0Ljk2NDA3OQDnEMEnXUDXCAMGAShdQNcILENJUS5OQVNEQVFHUzpFQS5JUV9DTE9TRVBSSUNFLjIwMTktMDktMjMuVVNEAQAAADttAAACAAAABTk4LjE4AOcQwSddQNcIAwYBKF1A1wgoQ0lRLlRTRTo3OTc0LklRX01BUktFVENBUC4yMDE5LTA5LTIzLlVTRAEAAACkXQ0AAgAAAAw0NzI2OS4yNDY3NjUBBgAAAAUAAAABMQEAAAAKMTk3NTc4NzA4NgMAAAADMTYwAgAAAAYxMDAwNTQEAAAAATAHAAAACTkvMjAvMjAxOecQwSddQNcIYsoFKF1A1wgiQ0lRLklRVFIzMjc2NDQ4OTIuSVFfVFJfVE9UQUxWQUxVRQEAAADc</t>
  </si>
  <si>
    <t>docTAgAAAAkyMDM4NTQuMjkBBgAAAAUAAAACNTQBAAAABjEwMDUwNAIAAAAJMzI3NjQ0ODkyAwAAAAkzMjc2NDQ4OTIEAAAAAjg1BgAAAAVGYWxzZecQwSddQNcIt6P+J11A1wgpQ0lRLlRTRTo3OTc0LklRX0NMT1NFUFJJQ0UuMjAxNS0wNi0zMC5VU0QBAAAApF0NAAIAAAAKMTY3LjM3NTMwOQDnEMEnXUDXCLej/iddQNcII0NJUS5JUVRSMzE0MjIwMDU5LklRX1RSX0NMT1NFRF9EQVRFAQAAABueuhIFAAAACjIwMTUtMTAtMTQA5xDBJ11A1whiygUoXUDXCDNDSVEuRU5YVFBBOlVCSS5JUV9UT1RBTF9SRVYuQ1kyMDE3LjIwMTktMDktMjMuLi5VU0QBAAAAGXYNAAIAAAALMjAyNy4yNzE4NTQBCAAAAAUAAAABMQEAAAAKMTk2ODQ2Mjg5MQMAAAADMTYwAgAAAAIyOAQAAAABMAcAAAAJOS8yMy8yMDE5CAAAAAoxMi8zMS8yMDE3CQAAAAEw5xDBJ11A1whrQfwnXUDXCDBDSVEuRU5YVFBBOlVCSS5JUV9FQklUREEuQ1kyMDE3LjIwMTktMDktMjMuLi5VU0QBAAAAGXYNAAIAAAAKOTA3LjIwNTIxMQEIAAAABQAAAAExAQAAAAoxOTY4NDYyODkxAwAAAAMxNjACAAAABDQwNTEEAAAAATAHAAAACTkvMjMvMjAxOQgAAAAKMTIvMzEvMjAxNwkAAAABMOcQwSddQNcIYsoFKF1A1wgpQ0lRLlRTRTo3OTc0LklRX0NMT1NFUFJJQ0UuMjAxNy0wOC0wMS5VU0QBAAAApF0NAAIAAAAKMzM2LjU5OTU0NADnEMEnXUDXCAMG</t>
  </si>
  <si>
    <t>AShdQNcILENJUS5UU0U6Nzk3NC5JUV9URVZfRUJJVERBLklRX0xUTS4yMDE1LTA3LTE0AQAAAKRdDQACAAAACDQzLjA4OTQ4AQcAAAAFAAAAATEBAAAACjE3NDU5MjI3NzIDAAAAATACAAAABjEwMDAzMAQAAAABMAcAAAAJNy8xNC8yMDE1CAAAAAk3LzE0LzIwMTXnEMEnXUDXCGtB/CddQNcIMENJUS5FTlhUUEE6VUJJLklRX0VCSVREQS5DWTIwMTUuMjAxOS0wOS0yMy4uLlVTRAEAAAAZdg0AAgAAAAo2MDcuMDY4MTUxAQgAAAAFAAAAATEBAAAACjE4NTU1MjI1MTYDAAAAAzE2MAIAAAAENDA1MQQAAAABMAcAAAAJOS8yMy8yMDE5CAAAAAoxMi8zMS8yMDE1CQAAAAEw5xDBJ11A1wgDBgEoXUDXCCxDSVEuVFNFOjc5NzQuSVFfVEVWX0VCSVREQS5JUV9MVE0uMjAxOC0wNi0xMgEAAACkXQ0AAgAAAAkyMC40NDc4NTEBBwAAAAUAAAABMQEAAAAKMTg4NDg2NDk2NAMAAAABMAIAAAAGMTAwMDMwBAAAAAEwBwAAAAk2LzEyLzIwMTgIAAAACTYvMTIvMjAxOOcQwSddQNcIa0H8J11A1wgsQ0lRLlRTRTo3OTc0LklRX1RFVl9FQklUREEuSVFfTFRNLjIwMTUtMTAtMjABAAAApF0NAAIAAAAJNDMuMzgxNjg1AQcAAAAFAAAAATEBAAAACjE3NDk4NTcwOTcDAAAAATACAAAABjEwMDAzMAQAAAABMAcAAAAKMTAvMjAvMjAxNQgAAAAKMTAvMjAvMjAxNecQwSddQNcIAwYBKF1A1wgvQ0lRLk5BU0RBUUdTOkFUVkkuSVFf</t>
  </si>
  <si>
    <t>R1AuQ1kyMDE3LjIwMTktMDktMjMuLi5VU0QBAAAAF21AAAIAAAAENDUxNgEIAAAABQAAAAExAQAAAAoxOTQ3ODI4NzYwAwAAAAMxNjACAAAAAjEwBAAAAAEwBwAAAAk5LzIzLzIwMTkIAAAACjEyLzMxLzIwMTcJAAAAATDnEMEnXUDXCGLKBShdQNcIN0NJUS5LT1NFOkEyNTEyNzAuSVFfUkVWRU5VRV9FU1QuQ1kyMDIwLjIwMTktMDktMjMuLi5VU0QBAAAAWe4vCQIAAAAQMjE5My41NTc0MjAxMTQxOQEOAAAABQAAAAIxMQEAAAABMAIAAAAKMTAwMzczODI4OQMAAAAGMTAwMTgwBAAAAAEzBgAAAAEwBwAAAAMxNjAIAAAAATAJAAAAATEKAAAAATALAAAACzExNjEwODM3NTA1DAAAAAE3DQAAAAk5LzI0LzIwMTkQAAAACTkvMjMvMjAxOecQwSddQNcIcWgDKF1A1wgpQ0lRLlRTRTo3OTc0LklRX0NMT1NFUFJJQ0UuMjAxNi0wNy0wNS5VU0QBAAAApF0NAAIAAAAKMTQyLjU1NDk2NwDnEMEnXUDXCAMGAShdQNcIMUNJUS5OQVNEQVFHUzpFQS5JUV9FQklUREEuQ1kyMDE3LjIwMTktMDktMjMuLi5VU0QBAAAAO20AAAIAAAAEMTU0MQEIAAAABQAAAAExAQAAAAoxOTQzOTE1MDIxAwAAAAMxNjACAAAABDQwNTEEAAAAATAHAAAACTkvMjMvMjAxOQgAAAAKMTIvMzEvMjAxNwkAAAABMOcQwSddQNcIt6P+J11A1wgpQ0lRLlRTRTo3OTc0LklRX0NMT1NFUFJJQ0UuMjAxOC0xMS0xMy5VU0QBAAAApF0NAAIAAAAJMzEx</t>
  </si>
  <si>
    <t>LjkwMjQ1AOcQwSddQNcIt6P+J11A1wgwQ0lRLlRTRTo3OTc0LklRX0RBX1NVUFBMLklRX0xUTS4yMDE5LTA5LTIzLi4uVVNEAQAAAKRdDQACAAAACTU5LjU0NDQ2NQEIAAAABQAAAAExAQAAAAoxOTc1NzkyNDcwAwAAAAMxNjACAAAAAjQxBAAAAAEwBwAAAAk5LzIzLzIwMTkIAAAACTYvMzAvMjAxOQkAAAABMKeZyiddQNcIYsoFKF1A1wgyQ0lRLlRTRTozNjU5LklRX0VCSVREQV9FU1QuQ1kyMDE5LjIwMTktMDktMjMuLi5VU0QBAAAAnh+CCAIAAAAQOTczLjg5OTQ3NzMyOTI2NQEOAAAABQAAAAIxMQEAAAABMAIAAAAKMTAwMTQyMjgyMQMAAAAGMTAwMTg3BAAAAAEzBgAAAAEwBwAAAAMxNjAIAAAAATAJAAAAATEKAAAAATALAAAACzExNjAzNDQ3MTMwDAAAAAE3DQAAAAk5LzI0LzIwMTkQAAAACTkvMjMvMjAxOecQwSddQNcIa0H8J11A1wgsQ0lRLlRTRTo3OTc0LklRX1RFVl9FQklUREEuSVFfTFRNLjIwMTgtMTAtMDkBAAAApF0NAAIAAAAJMTkuMjM2NDU2AQcAAAAFAAAAATEBAAAACjE5MDAyNzI3OTYDAAAAATACAAAABjEwMDAzMAQAAAABMAcAAAAJMTAvOS8yMDE4CAAAAAkxMC85LzIwMTjnEMEnXUDXCGLKBShdQNcIKUNJUS5UU0U6Nzk3NC5JUV9DTE9TRVBSSUNFLjIwMTYtMDItMDIuVVNEAQAAAKRdDQACAAAACjE0Mi43MDg3NTgA5xDBJ11A1whxaAMoXUDXCClDSVEuVFNFOjc5NzQuSVFfQ0xP</t>
  </si>
  <si>
    <t>U0VQUklDRS4yMDE4LTA0LTE3LlVTRAEAAACkXQ0AAgAAAAk0MTQuNjE3MDgA5xDBJ11A1whrQfwnXUDXCCpDSVEuVFNFOjk2ODQuSVFfVEVWLjQ0NTYxLjIwMTktMDktMjMuLi5VU0QBAAAAqX0NAAIAAAALNDEzMC42MDY3MzYBBgAAAAUAAAABMQEAAAAKMTk3NTc4NjYwOQMAAAADMTYwAgAAAAYxMDAwNjAEAAAAATAHAAAACTkvMjAvMjAxOecQwSddQNcIYsoFKF1A1wgsQ0lRLlRTRTo3OTc0LklRX1RFVl9FQklUREEuSVFfTFRNLjIwMTgtMDYtMTkBAAAApF0NAAIAAAAIMTcuMDAxNTcBBwAAAAUAAAABMQEAAAAKMTg4NDg2NDk2NAMAAAABMAIAAAAGMTAwMDMwBAAAAAEwBwAAAAk2LzE5LzIwMTgIAAAACTYvMTkvMjAxOOcQwSddQNcIcWgDKF1A1wgpQ0lRLlRTRTo3OTc0LklRX0NMT1NFUFJJQ0UuMjAxNi0wNi0yOC5VU0QBAAAApF0NAAIAAAAKMTM0LjY3MzQxOADnEMEnXUDXCLej/iddQNcILkNJUS5UU0U6Nzk3NC5JUV9FQklUREEuQ1kyMDE2LjIwMTktMDktMjMuLi5VU0QBAAAApF0NAAIAAAAKMjIyLjI0NDA5OQEIAAAABQAAAAExAQAAAAoxODI3NzY3Nzk3AwAAAAMxNjACAAAABDQwNTEEAAAAATAHAAAACTkvMjMvMjAxOQgAAAAKMTIvMzEvMjAxNgkAAAABMKeZyiddQNcIYsoFKF1A1wgpQ0lRLlRTRTo3OTc0LklRX0NMT1NFUFJJQ0UuMjAxNy0xMS0yMS5VU0QBAAAApF0NAAIAAAAKMzk1Ljk0</t>
  </si>
  <si>
    <t>MjcxMQDnEMEnXUDXCAMGAShdQNcILENJUS5UU0U6Nzk3NC5JUV9URVZfRUJJVERBLklRX0xUTS4yMDE5LTAxLTA4AQAAAKRdDQACAAAACTEyLjk3NzI5MwEHAAAABQAAAAExAQAAAAoxOTIxNTE4NDIzAwAAAAEwAgAAAAYxMDAwMzAEAAAAATAHAAAACDEvOC8yMDE5CAAAAAgxLzgvMjAxOecQwSddQNcIt6P+J11A1wgsQ0lRLkVOWFRQQTpVQkkuSVFfR1AuSVFfTFRNLjIwMTktMDktMjMuLi5VU0QBAAAAGXYNAAIAAAALMTcwMi4wNzYzMTkBCAAAAAUAAAABMQEAAAAKMTk2ODQ2Mjg3MQMAAAADMTYwAgAAAAIxMAQAAAABMAcAAAAJOS8yMy8yMDE5CAAAAAkzLzMxLzIwMTkJAAAAATDnEMEnXUDXCAMGAShdQNcILENJUS5UU0U6Nzk3NC5JUV9URVZfRUJJVERBLklRX0xUTS4yMDE2LTA1LTMxAQAAAKRdDQACAAAACTI0LjI5ODc5MgEHAAAABQAAAAExAQAAAAoxNzg3OTI1ODc2AwAAAAEwAgAAAAYxMDAwMzAEAAAAATAHAAAACTUvMzEvMjAxNggAAAAJNS8zMS8yMDE25xDBJ11A1wgDBgEoXUDXCClDSVEuVFNFOjc5NzQuSVFfQ0xPU0VQUklDRS4yMDE1LTA4LTE4LlVTRAEAAACkXQ0AAgAAAAoxOTguOTc4OTg2AOcQwSddQNcIcWgDKF1A1wg+Q0lRLk5BU0RBUUdTOkFUVkkuSVFfVE9UQUxfREVCVF9FUVVJVFkuSVFfTFRNLjIwMTktMDktMjMuLi5VU0QBAAAAF21AAAIAAAAHMjQuNzMwNwEIAAAABQAAAAEx</t>
  </si>
  <si>
    <t>AQAAAAoxOTc1MDM5MDUyAwAAAAMxNjACAAAABDQwMzQEAAAAATAHAAAACTkvMjMvMjAxOQgAAAAJNi8zMC8yMDE5CQAAAAEwp5nKJ11A1whrQfwnXUDXCDVDSVEuS09TRTpBMjUxMjcwLklRX1RPVEFMX1JFVi5JUV9MVE0uMjAxOS0wOS0yMy4uLlVTRAEAAABZ7i8JAgAAAAsxNzQyLjk3MzA5NAEIAAAABQAAAAExAQAAAAoxOTgxMTcwMDUyAwAAAAMxNjACAAAAAjI4BAAAAAEwBwAAAAk5LzIzLzIwMTkIAAAACTYvMzAvMjAxOQkAAAABMOcQwSddQNcIAwYBKF1A1wgsQ0lRLlRTRTo3OTc0LklRX1RFVl9FQklUREEuSVFfTFRNLjIwMTgtMDQtMDMBAAAApF0NAAIAAAAJMjUuMzkyODMzAQcAAAAFAAAAATEBAAAACjE4NzQxOTMzNDADAAAAATACAAAABjEwMDAzMAQAAAABMAcAAAAINC8zLzIwMTgIAAAACDQvMy8yMDE45xDBJ11A1wi3o/4nXUDXCDBDSVEuVFNFOjc5NzQuSVFfREFfU1VQUEwuQ1kyMDE3LjIwMTktMDktMjMuLi5VU0QBAAAApF0NAAIAAAAJNDcuMjc2NjAxAQgAAAAFAAAAATEBAAAACjE4NzQxOTMzNDADAAAAAzE2MAIAAAACNDEEAAAAATAHAAAACTkvMjMvMjAxOQgAAAAKMTIvMzEvMjAxNwkAAAABMKeZyiddQNcIYsoFKF1A1wgsQ0lRLlRTRTo3OTc0LklRX1RFVl9FQklUREEuSVFfTFRNLjIwMTUtMTItMDEBAAAApF0NAAIAAAAJMzIuNjcwMDI3AQcAAAAFAAAAATEBAAAACjE3NjUxNTM2</t>
  </si>
  <si>
    <t>NzEDAAAAATACAAAABjEwMDAzMAQAAAABMAcAAAAJMTIvMS8yMDE1CAAAAAkxMi8xLzIwMTXnEMEnXUDXCGtB/CddQNcILUNJUS5OQVNEQVFHUzpFQS5JUV9HUC5DWTIwMTcuMjAxOS0wOS0yMy4uLlVTRAEAAAA7bQAAAgAAAAQzODY0AQgAAAAFAAAAATEBAAAACjE5NDM5MTUwMjEDAAAAAzE2MAIAAAACMTAEAAAAATAHAAAACTkvMjMvMjAxOQgAAAAKMTIvMzEvMjAxNwkAAAABMOcQwSddQNcIAwYBKF1A1wg6Q0lRLktPU0U6QTI1MTI3MC5JUV9ESUxVVF9FUFNfRVhDTC5JUV9MVE0uMjAxOS0wOS0yMy4uLlVTRAEAAABZ7i8JAgAAAAgxLjM4MDA5MQEIAAAABQAAAAExAQAAAAoxOTgxMTcwMDUyAwAAAAMxNjACAAAAAzE0MgQAAAABMAcAAAAJOS8yMy8yMDE5CAAAAAk2LzMwLzIwMTkJAAAAATDnEMEnXUDXCAMGAShdQNcILENJUS5UU0U6Nzk3NC5JUV9URVZfRUJJVERBLklRX0xUTS4yMDE3LTA1LTAyAQAAAKRdDQACAAAACTQyLjQxODY1MQEHAAAABQAAAAExAQAAAAoxODM4MjA0MDc0AwAAAAEwAgAAAAYxMDAwMzAEAAAAATAHAAAACDUvMi8yMDE3CAAAAAg1LzIvMjAxN+cQwSddQNcIt6P+J11A1wgpQ0lRLlRTRTo3OTc0LklRX0NMT1NFUFJJQ0UuMjAxOC0wNC0yNC5VU0QBAAAApF0NAAIAAAAKNDI0LjI2NDYzMwDnEMEnXUDXCHFoAyhdQNcILENJUS5UU0U6Nzk3NC5JUV9URVZfRUJJVERBLklRX0xU</t>
  </si>
  <si>
    <t>TS4yMDE1LTA2LTE2AQAAAKRdDQACAAAACTQ0LjIxNjc4MQEHAAAABQAAAAExAQAAAAoxNzMyNjYwNjYyAwAAAAEwAgAAAAYxMDAwMzAEAAAAATAHAAAACTYvMTYvMjAxNQgAAAAJNi8xNi8yMDE15xDBJ11A1whrQfwnXUDXCCpDSVEuVFNFOjc5NzQuSVFfR1AuQ1kyMDE4LjIwMTktMDktMjMuLi5VU0QBAAAApF0NAAIAAAALNDQzMi40NzUwNTIBCAAAAAUAAAABMQEAAAAKMTk0NDU5NzY1OAMAAAADMTYwAgAAAAIxMAQAAAABMAcAAAAJOS8yMy8yMDE5CAAAAAoxMi8zMS8yMDE4CQAAAAEw5xDBJ11A1whrQfwnXUDXCC1DSVEuTkFTREFRR1M6RUEuSVFfR1AuSVFfTFRNLjIwMTktMDktMjMuLi5VU0QBAAAAO20AAAIAAAAEMzcyOAEIAAAABQAAAAExAQAAAAoxOTc0MjM1ODEyAwAAAAMxNjACAAAAAjEwBAAAAAEwBwAAAAk5LzIzLzIwMTkIAAAACTYvMzAvMjAxOQkAAAABMOcQwSddQNcIYsoFKF1A1wgsQ0lRLlRTRTo3OTc0LklRX1RFVl9FQklUREEuSVFfTFRNLjIwMTYtMTAtMDQBAAAApF0NAAIAAAAJNjIuMDA4NzI4AQcAAAAFAAAAATEBAAAACjE4MDI3NzY3NzUDAAAAATACAAAABjEwMDAzMAQAAAABMAcAAAAJMTAvNC8yMDE2CAAAAAkxMC80LzIwMTbnEMEnXUDXCGtB/CddQNcILENJUS5UU0U6Nzk3NC5JUV9URVZfRUJJVERBLklRX0xUTS4yMDE2LTA0LTA1AQAAAKRdDQACAAAACTIwLjQ3MDA0NQEH</t>
  </si>
  <si>
    <t>AAAABQAAAAExAQAAAAoxNzc2NTg0MDQzAwAAAAEwAgAAAAYxMDAwMzAEAAAAATAHAAAACDQvNS8yMDE2CAAAAAg0LzUvMjAxNucQwSddQNcIAwYBKF1A1wgqQ0lRLlRTRTozNjU5LklRX0dQLkNZMjAxOC4yMDE5LTA5LTIzLi4uVVNEAQAAAJ4fgggCAAAACzE3ODcuOTc3OTQ0AQgAAAAFAAAAATEBAAAACjE5NTE4Njc5MjkDAAAAAzE2MAIAAAACMTAEAAAAATAHAAAACTkvMjMvMjAxOQgAAAAKMTIvMzEvMjAxOAkAAAABMOcQwSddQNcIa0H8J11A1wgsQ0lRLlRTRTo3OTc0LklRX1RFVl9FQklUREEuSVFfTFRNLjIwMTgtMDEtMzABAAAApF0NAAIAAAAJNDcuNTIxNjc4AQcAAAAFAAAAATEBAAAACjE4NjU3OTIzNjMDAAAAATACAAAABjEwMDAzMAQAAAABMAcAAAAJMS8zMC8yMDE4CAAAAAkxLzMwLzIwMTjnEMEnXUDXCGLKBShdQNcII0NJUS5JUVRSMzI3NjQ0ODkyLklRX1RSX0NMT1NFRF9EQVRFAQAAANx2hxMFAAAACjIwMTYtMDctMDQA5xDBJ11A1whrQfwnXUDXCClDSVEuVFNFOjc5NzQuSVFfQ0xPU0VQUklDRS4yMDE4LTA3LTAzLlVTRAEAAACkXQ0AAgAAAAkzMjkuNDI5ODYA5xDBJ11A1wgDBgEoXUDXCClDSVEuVFNFOjc5NzQuSVFfQ0xPU0VQUklDRS4yMDE5LTAyLTA1LlVTRAEAAACkXQ0AAgAAAAoyODQuMzg3ODExAOcQwSddQNcIt6P+J11A1wgpQ0lRLlRTRTo3OTc0LklRX0NMT1NFUFJJQ0Uu</t>
  </si>
  <si>
    <t>MjAxOC0wMS0yMy5VU0QBAAAApF0NAAIAAAAKNDQ5LjM2Nzk2NwDnEMEnXUDXCGtB/CddQNcIKkNJUS5UU0U6MzY1OS5JUV9URVYuNDI3MzUuMjAxOS0wOS0yMy4uLlVTRAEAAACeH4IIAgAAAAs0MDQwLjI1NTUwNQEGAAAABQAAAAExAQAAAAoxODE4NTM0MjUwAwAAAAMxNjACAAAABjEwMDA2MAQAAAABMAcAAAAKMTIvMzEvMjAxNucQwSddQNcIcWgDKF1A1wgpQ0lRLktPU0U6QTI1MTI3MC5JUV9URVYuLjIwMTktMDktMjMuLi5VU0QBAAAAWe4vCQIAAAALNTIyOC42MjI5NjkBBgAAAAUAAAABMQEAAAAKMTk4MTE1NjU0MAMAAAADMTYwAgAAAAYxMDAwNjAEAAAAATAHAAAACTkvMjMvMjAxOecQwSddQNcIt6P+J11A1wgsQ0lRLlRTRTo3OTc0LklRX1RFVl9FQklUREEuSVFfTFRNLjIwMTYtMTAtMTgBAAAApF0NAAIAAAAJNjIuMTUyMjg2AQcAAAAFAAAAATEBAAAACjE4MDI3NzY3NzUDAAAAATACAAAABjEwMDAzMAQAAAABMAcAAAAKMTAvMTgvMjAxNggAAAAKMTAvMTgvMjAxNucQwSddQNcIAwYBKF1A1wgpQ0lRLlRTRTo3OTc0LklRX0NMT1NFUFJJQ0UuMjAxNy0wOS0yNi5VU0QBAAAApF0NAAIAAAAKMzYwLjQ3NDQ1MgDnEMEnXUDXCAMGAShdQNcIM0NJUS5OQVNEQVFHUzpUVFdPLklRX0VCSVREQS5DWTIwMTguMjAxOS0wOS0yMy4uLlVTRAEAAABRqgUAAgAAAAcyOTYuOTM3AQgAAAAFAAAAATEBAAAA</t>
  </si>
  <si>
    <t>CjE5NDM5MjUyMzYDAAAAAzE2MAIAAAAENDA1MQQAAAABMAcAAAAJOS8yMy8yMDE5CAAAAAoxMi8zMS8yMDE4CQAAAAEw5xDBJ11A1wgDBgEoXUDXCClDSVEuVFNFOjc5NzQuSVFfQ0xPU0VQUklDRS4yMDE4LTA4LTA3LlVTRAEAAACkXQ0AAgAAAAozMzQuOTM3MjY4AOcQwSddQNcIa0H8J11A1wgpQ0lRLlRTRTo3OTc0LklRX0NMT1NFUFJJQ0UuMjAxNy0wMi0yMS5VU0QBAAAApF0NAAIAAAAKMjAzLjc2MDc5NQDnEMEnXUDXCGtB/CddQNcILENJUS5UU0U6Nzk3NC5JUV9URVZfRUJJVERBLklRX0xUTS4yMDE4LTA5LTA0AQAAAKRdDQACAAAACTE5LjAxMTM4OAEHAAAABQAAAAExAQAAAAoxOTAwMjcyNzk2AwAAAAEwAgAAAAYxMDAwMzAEAAAAATAHAAAACDkvNC8yMDE4CAAAAAg5LzQvMjAxOOcQwSddQNcIa0H8J11A1wgsQ0lRLlRTRTo3OTc0LklRX1RFVl9FQklUREEuSVFfTFRNLjIwMTgtMDctMTcBAAAApF0NAAIAAAAJMTcuODEyNzk3AQcAAAAFAAAAATEBAAAACjE4OTUxOTAzMTIDAAAAATACAAAABjEwMDAzMAQAAAABMAcAAAAJNy8xNy8yMDE4CAAAAAk3LzE3LzIwMTjnEMEnXUDXCHFoAyhdQNcINENJUS5UU0U6Nzk3NC5JUV9HUk9TU19QUk9GSVQuQ1kyMDE4LjIwMTktMDktMjMuLi5VU0QBAAAApF0NAAIAAAALNDQzMi40NzUwNTIBCAAAAAUAAAABMQEAAAAKMTk0NDU5NzY1OAMAAAADMTYwAgAA</t>
  </si>
  <si>
    <t>AAIxMAQAAAABMAcAAAAJOS8yMy8yMDE5CAAAAAoxMi8zMS8yMDE4CQAAAAEwp5nKJ11A1whiygUoXUDXCDlDSVEuRU5YVFBBOlVCSS5JUV9FRkZFQ1RfVEFYX1JBVEUuSVFfTFRNLjIwMTktMDktMjMuLi5VU0QBAAAAGXYNAAIAAAAGMzIuNjI2AQgAAAAFAAAAATEBAAAACjE5Njg0NjI4NzEDAAAAAjUwAgAAAAQ0Mzc2BAAAAAEwBwAAAAk5LzIzLzIwMTkIAAAACTMvMzEvMjAxOQkAAAABMKeZyiddQNcIcWgDKF1A1wg4Q0lRLk5BU0RBUUdTOkFUVkkuSVFfUkVWRU5VRV9FU1QuQ1kyMDIwLjIwMTktMDktMjMuLi5VU0QBAAAAF21AAAIAAAAKNzAxNC43MTQxMgEOAAAABQAAAAIxMQEAAAABMAIAAAAKMTAwMDc4MzExOAMAAAAGMTAwMTgwBAAAAAEyBgAAAAEwBwAAAAMxNjAIAAAAATAJAAAAATEKAAAAATALAAAACzExNjEwMDg1NjQ2DAAAAAE3DQAAAAk5LzI0LzIwMTkQAAAACTkvMjMvMjAxOecQwSddQNcIt6P+J11A1wgpQ0lRLlRTRTo3OTc0LklRX0NMT1NFUFJJQ0UuMjAxNy0wOC0xNS5VU0QBAAAApF0NAAIAAAAKMzMxLjYyODcxMwDnEMEnXUDXCHFoAyhdQNcIM0NJUS5UU0U6MzY1OS5JUV9SRVZFTlVFX0VTVC5DWTIwMjEuMjAxOS0wOS0yMy4uLlVTRAEAAACeH4IIAgAAAA8yNzYzLjU5Mjg0NDM1MTgBDgAAAAUAAAACMTEBAAAAATACAAAACjEwMDE2NDg4MjIDAAAABjEwMDE4MAQAAAABMwYAAAAB</t>
  </si>
  <si>
    <t>MAcAAAADMTYwCAAAAAEwCQAAAAExCgAAAAEwCwAAAAsxMTYwMzQ0NzIzMwwAAAABNw0AAAAJOS8yNC8yMDE5EAAAAAk5LzIzLzIwMTnnEMEnXUDXCAMGAShdQNcIKUNJUS5UU0U6Nzk3NC5JUV9DTE9TRVBSSUNFLjIwMTUtMTEtMTAuVVNEAQAAAKRdDQACAAAACjE2NS41NTA4MTQA5xDBJ11A1whxaAMoXUDXCEJDSVEuVFNFOjc5NzQuSVFfQ0hBTkdFX05FVF9XT1JLSU5HX0NBUElUQUwuSVFfTFRNLjIwMTktMDktMjMuLi5VU0QBAAAApF0NAAIAAAALLTYxMy4yMjA3NzYBCAAAAAUAAAABMQEAAAAKMTk3NTc5MjQ3MAMAAAADMTYwAgAAAAQ0NDIxBAAAAAEwBwAAAAk5LzIzLzIwMTkIAAAACTYvMzAvMjAxOQkAAAABMKeZyiddQNcIcWgDKF1A1wgpQ0lRLlRTRTo3OTc0LklRX0NMT1NFUFJJQ0UuMjAxOC0xMC0yMy5VU0QBAAAApF0NAAIAAAAKMzM0LjQwMjg1MwDnEMEnXUDXCAMGAShdQNcIKUNJUS5UU0U6Nzk3NC5JUV9DTE9TRVBSSUNFLjIwMTUtMDgtMTEuVVNEAQAAAKRdDQACAAAACjE5Ny42OTM1MDEA5xDBJ11A1whrQfwnXUDXCDJDSVEuVFNFOjM2NTkuSVFfVE9UQUxfREVCVC5JUV9MVE0uMjAxOS0wOS0yMy4uLlVTRAEAAACeH4IIAgAAAAk5Ny44MjQzNzUBCAAAAAUAAAABMQEAAAAKMTk3NTc5MjQzNwMAAAADMTYwAgAAAAQ0MTczBAAAAAEwBwAAAAk5LzIzLzIwMTkIAAAACTYvMzAvMjAxOQkA</t>
  </si>
  <si>
    <t>AAABMKeZyiddQNcIt6P+J11A1wgsQ0lRLkVOWFRQQTpVQkkuSVFfVEVWLjQ0MTk2LjIwMTktMDktMjMuLi5VU0QBAAAAGXYNAAIAAAALODc2OS42NTkxMDgBBgAAAAUAAAABMQEAAAAKMTk2ODQ2Mjg2OQMAAAADMTYwAgAAAAYxMDAwNjAEAAAAATAHAAAACTkvMjMvMjAxOecQwSddQNcIAwYBKF1A1wgpQ0lRLklRVFI1NTE3OTk2NjkuSVFfVFJfSU1QTElFRF9FVl9FQklUREEBAAAAdcvjIAIAAAAIMTguMzMxNDIBBgAAAAUAAAACNTQBAAAABjEwMjA5NAIAAAAJNTUxNzk5NjY5AwAAAAk1NTE4MDAzMDkEAAAAAjMyBgAAAAVGYWxzZecQwSddQNcIYsoFKF1A1wguQ0lRLktPU0U6QTI1MTI3MC5JUV9URVYuNDQ5MjYuMjAxOS0wOS0yMy4uLlVTRAEAAABZ7i8JAgAAAAs1MjI4LjYyMjk2OQEGAAAABQAAAAExAQAAAAoxOTgxMTU2NTQwAwAAAAMxNjACAAAABjEwMDA2MAQAAAABMAcAAAAJOS8yMy8yMDE55xDBJ11A1whiygUoXUDXCClDSVEuVFNFOjc5NzQuSVFfQ0xPU0VQUklDRS4yMDE3LTExLTA3LlVTRAEAAACkXQ0AAgAAAAozNzUuMTY0MzIyAOcQwSddQNcIcWgDKF1A1wg0Q0lRLkVOWFRQQTpVQkkuSVFfRUJJVERBX0VTVC5DWTIwMjIuMjAxOS0wOS0yMy4uLlVTRAEAAAAZdg0AAgAAAA8xNTkyLjU0NjA3NDE2NTYBDgAAAAUAAAACMTEBAAAAATACAAAACDQ3NTE0NzE5AwAAAAYxMDAxODcEAAAAATMG</t>
  </si>
  <si>
    <t>AAAAATAHAAAAAzE2MAgAAAABMAkAAAABMQoAAAABMAsAAAALMTE1OTkyNTkzOTkMAAAAATcNAAAACTkvMjQvMjAxORAAAAAJOS8yMy8yMDE55xDBJ11A1wgDBgEoXUDXCCxDSVEuVFNFOjc5NzQuSVFfVEVWX0VCSVREQS5JUV9MVE0uMjAxNy0xMC0xMAEAAACkXQ0AAgAAAAk1MS42NjUxNTEBBwAAAAUAAAABMQEAAAAKMTg1NDA0Mzg4OAMAAAABMAIAAAAGMTAwMDMwBAAAAAEwBwAAAAoxMC8xMC8yMDE3CAAAAAoxMC8xMC8yMDE35xDBJ11A1whxaAMoXUDXCC5DSVEuS09TRTpBMjUxMjcwLklRX0dQLkNZMjAxNy4yMDE5LTA5LTIzLi4uVVNEAQAAAFnuLwkCAAAACzIyNjkuNDgyNjM2AQgAAAAFAAAAATEBAAAACjE5NTA5MzY3MDADAAAAAzE2MAIAAAACMTAEAAAAATAHAAAACTkvMjMvMjAxOQgAAAAKMTIvMzEvMjAxNwkAAAABMOcQwSddQNcIt6P+J11A1wgpQ0lRLlRTRTo3OTc0LklRX0NMT1NFUFJJQ0UuMjAxNy0wNy0wNC5VU0QBAAAApF0NAAIAAAAKMzEwLjAyMzQxMwDnEMEnXUDXCAMGAShdQNcIKUNJUS5UU0U6Nzk3NC5JUV9DTE9TRVBSSUNFLjIwMTktMDktMTcuVVNEAQAAAKRdDQACAAAACjM4Ny4zMjUyNDUAp5nKJ11A1wi3o/4nXUDXCDdDSVEuVFNFOjc5NzQuSVFfQ0FTSF9BQ1FVSVJFX0NGLkNZMjAxNy4yMDE5LTA5LTIzLi4uVVNEAQAAAKRdDQADAAAAAACnmconXUDXCGLKBShdQNcILENJ</t>
  </si>
  <si>
    <t>US5UU0U6Nzk3NC5JUV9URVZfRUJJVERBLklRX0xUTS4yMDE2LTA1LTE3AQAAAKRdDQACAAAACTIzLjA4MTMwMgEHAAAABQAAAAExAQAAAAoxNzg3OTI1ODc2AwAAAAEwAgAAAAYxMDAwMzAEAAAAATAHAAAACTUvMTcvMjAxNggAAAAJNS8xNy8yMDE25xDBJ11A1whrQfwnXUDXCDNDSVEuTkFTREFRR1M6QVRWSS5JUV9FQklUREEuQ1kyMDE4LjIwMTktMDktMjMuLi5VU0QBAAAAF21AAAIAAAAEMjUwNwEIAAAABQAAAAExAQAAAAoxOTQ3ODI4NzY5AwAAAAMxNjACAAAABDQwNTEEAAAAATAHAAAACTkvMjMvMjAxOQgAAAAKMTIvMzEvMjAxOAkAAAABMOcQwSddQNcIcWgDKF1A1wg4Q0lRLk5BU0RBUUdTOkFUVkkuSVFfUkVWRU5VRV9FU1QuQ1kyMDE5LjIwMTktMDktMjMuLi5VU0QBAAAAF21AAAIAAAAKNjM0NS40NTQ1NwEOAAAABQAAAAIxMQEAAAABMAIAAAAKMTAwMDc3ODQ1MAMAAAAGMTAwMTgwBAAAAAEyBgAAAAEwBwAAAAMxNjAIAAAAATAJAAAAATEKAAAAATALAAAACzExNjEwMDg1Njc2DAAAAAE3DQAAAAk5LzI0LzIwMTkQAAAACTkvMjMvMjAxOecQwSddQNcIa0H8J11A1wgpQ0lRLlRTRTo3OTc0LklRX0NMT1NFUFJJQ0UuMjAxNy0wNC0xMS5VU0QBAAAApF0NAAIAAAAKMjM0LjM3OTk4NQDnEMEnXUDXCAMGAShdQNcIKkNJUS5UU0U6Nzk3NC5JUV9HUC5JUV9MVE0uMjAxOS0wOS0yMy4uLlVTRAEA</t>
  </si>
  <si>
    <t>AACkXQ0AAgAAAAs0NjU0LjYzNjYzOQEIAAAABQAAAAExAQAAAAoxOTc1NzkyNDcwAwAAAAMxNjACAAAAAjEwBAAAAAEwBwAAAAk5LzIzLzIwMTkIAAAACTYvMzAvMjAxOQkAAAABMOcQwSddQNcIt6P+J11A1wgsQ0lRLlRTRTo3OTc0LklRX1RFVl9FQklUREEuSVFfTFRNLjIwMTktMDktMTABAAAApF0NAAIAAAAJMTUuNDA5NDYxAQcAAAAFAAAAATEBAAAACjE5NzU3OTI0NzADAAAAATACAAAABjEwMDAzMAQAAAABMAcAAAAJOS8xMC8yMDE5CAAAAAk5LzEwLzIwMTmnmconXUDXCHFoAyhdQNcIKkNJUS5UU0U6Nzk3NC5JUV9URVYuNDQ5MjYuMjAxOS0wOS0yMy4uLlVTRAEAAACkXQ0AAgAAAAwzODg3MS4zMjkxNDEBBgAAAAUAAAABMQEAAAAKMTk3NTc4NzA4NgMAAAADMTYwAgAAAAYxMDAwNjAEAAAAATAHAAAACTkvMjAvMjAxOecQwSddQNcIYsoFKF1A1wguQ0lRLlRTRTo3OTc0LklRX0VCSVREQS5DWTIwMTUuMjAxOS0wOS0yMy4uLlVTRAEAAACkXQ0AAgAAAAozNjUuOTA0NzYyAQgAAAAFAAAAATEBAAAACjE3NzY1ODQwNDMDAAAAAzE2MAIAAAAENDA1MQQAAAABMAcAAAAJOS8yMy8yMDE5CAAAAAoxMi8zMS8yMDE1CQAAAAEwp5nKJ11A1whiygUoXUDXCClDSVEuVFNFOjc5NzQuSVFfQ0xPU0VQUklDRS4yMDE2LTAyLTIzLlVTRAEAAACkXQ0AAgAAAAkxNDUuNDYyNjYA5xDBJ11A1whrQfwnXUDXCDRD</t>
  </si>
  <si>
    <t>SVEuTkFTREFRR1M6VFRXTy5JUV9QRV9FWENMLklRX0xUTS4yMDE5LTA5LTIzLi4uVVNEAQAAAFGqBQACAAAACTQ2LjY1NjU5MgEHAAAABQAAAAExAQAAAAoxOTc0MzA0MDY2AwAAAAEwAgAAAAYxMDAwMjcEAAAAATAHAAAACTkvMjMvMjAxOQgAAAAJOS8yMy8yMDE55xDBJ11A1whrQfwnXUDXCCpDSVEuVFNFOjc5NzQuSVFfVEVWLjQzMTAwLjIwMTktMDktMjMuLi5VU0QBAAAApF0NAAIAAAAMMzU1MTIuMDUxODA3AQYAAAAFAAAAATEBAAAACjE4NjU3ODIxMzEDAAAAAzE2MAIAAAAGMTAwMDYwBAAAAAEwBwAAAAoxMi8zMS8yMDE35xDBJ11A1whxaAMoXUDXCClDSVEuVFNFOjc5NzQuSVFfQ0xPU0VQUklDRS4yMDE3LTAxLTE3LlVTRAEAAACkXQ0AAgAAAAoyMDkuMDU5MDY3AOcQwSddQNcIAwYBKF1A1wgpQ0lRLlRTRTo3OTc0LklRX0NMT1NFUFJJQ0UuMjAxNi0xMi0xMy5VU0QBAAAApF0NAAIAAAAKMjQ1LjYxMzI3NgDnEMEnXUDXCLej/iddQNcIKUNJUS5UU0U6Nzk3NC5JUV9DTE9TRVBSSUNFLjIwMTktMDUtMDcuVVNEAQAAAKRdDQACAAAACjMzNy4xNTI5NDEA5xDBJ11A1wgDBgEoXUDXCDhDSVEuRU5YVFBBOlVCSS5JUV9ESUxVVF9FUFNfRVhDTC5JUV9MVE0uMjAxOS0wOS0yMy4uLlVTRAEAAAAZdg0AAgAAAAgwLjk5MzI3MgEIAAAABQAAAAExAQAAAAoxOTY4NDYyODcxAwAAAAMxNjACAAAAAzE0</t>
  </si>
  <si>
    <t>MgQAAAABMAcAAAAJOS8yMy8yMDE5CAAAAAkzLzMxLzIwMTkJAAAAATDnEMEnXUDXCAMGAShdQNcIIkNJUS5UU0U6MzY1OS5JUV9URVYuMjAxOS0wOS0yMy5VU0QBAAAAnh+CCAIAAAALNzAxMS4zMDQwMDYBBgAAAAUAAAABMQEAAAAKMTk3NTc4NjYyMgMAAAADMTYwAgAAAAYxMDAwNjAEAAAAATAHAAAACTkvMjAvMjAxOecQwSddQNcIa0H8J11A1wgsQ0lRLlRTRTo3OTc0LklRX1RFVl9FQklUREEuSVFfTFRNLjIwMTUtMDYtMDIBAAAApF0NAAIAAAAJNDYuODI3MzM1AQcAAAAFAAAAATEBAAAACjE3MzI2NjA2NjIDAAAAATACAAAABjEwMDAzMAQAAAABMAcAAAAINi8yLzIwMTUIAAAACDYvMi8yMDE15xDBJ11A1wgDBgEoXUDXCCxDSVEuVFNFOjc5NzQuSVFfVEVWX0VCSVREQS5JUV9MVE0uMjAxNy0wNi0yNwEAAACkXQ0AAgAAAAk2NS4xMjg5OTIBBwAAAAUAAAABMQEAAAAKMTgzODIwNDA3NAMAAAABMAIAAAAGMTAwMDMwBAAAAAEwBwAAAAk2LzI3LzIwMTcIAAAACTYvMjcvMjAxN+cQwSddQNcIt6P+J11A1wgqQ0lRLlRTRTo5Njg0LklRX0dQLkNZMjAxNS4yMDE5LTA5LTIzLi4uVVNEAQAAAKl9DQACAAAACjc4Ny4zMDQ1MzUBCAAAAAUAAAABMQEAAAAKMTc3NTgxMjAxNgMAAAADMTYwAgAAAAIxMAQAAAABMAcAAAAJOS8yMy8yMDE5CAAAAAoxMi8zMS8yMDE1CQAAAAEw5xDBJ11A1whrQfwnXUDXCCxD</t>
  </si>
  <si>
    <t>SVEuVFNFOjc5NzQuSVFfVEVWX0VCSVREQS5JUV9MVE0uMjAxNy0wMS0wMwEAAACkXQ0AAgAAAAk1MS43MTk1NDQBBwAAAAUAAAABMQEAAAAKMTgxODA2ODIyMQMAAAABMAIAAAAGMTAwMDMwBAAAAAEwBwAAAAoxMi8zMC8yMDE2CAAAAAoxMi8zMC8yMDE25xDBJ11A1whiygUoXUDXCCxDSVEuVFNFOjc5NzQuSVFfVEVWX0VCSVREQS5JUV9MVE0uMjAxOC0wNC0yNAEAAACkXQ0AAgAAAAkyNS40MTI5MTgBBwAAAAUAAAABMQEAAAAKMTg3NDE5MzM0MAMAAAABMAIAAAAGMTAwMDMwBAAAAAEwBwAAAAk0LzI0LzIwMTgIAAAACTQvMjQvMjAxOOcQwSddQNcIYsoFKF1A1wgpQ0lRLlRTRTo3OTc0LklRX0NMT1NFUFJJQ0UuMjAxOS0wNS0yMS5VU0QBAAAApF0NAAIAAAAKMzQzLjI1OTk3NADnEMEnXUDXCHFoAyhdQNcIKUNJUS5UU0U6Nzk3NC5JUV9DTE9TRVBSSUNFLjIwMTgtMTEtMjAuVVNEAQAAAKRdDQACAAAACjI3Ny4zMTM4OTgA5xDBJ11A1wgDBgEoXUDXCClDSVEuVFNFOjc5NzQuSVFfQ0xPU0VQUklDRS4yMDE5LTAzLTA1LlVTRAEAAACkXQ0AAgAAAAoyNzEuMTI3Mzg1AOcQwSddQNcIt6P+J11A1wgpQ0lRLlRTRTozNjU5LklRX0NMT1NFUFJJQ0UuMjAxOS0wOS0yMy5VU0QBAAAAnh+CCAIAAAAJMTMuMDUzOTEyAOcQwSddQNcIa0H8J11A1wgyQ0lRLktPU0U6QTI1MTI3MC5JUV9FQklUREEuQ1kyMDE2</t>
  </si>
  <si>
    <t>LjIwMTktMDktMjMuLi5VU0QBAAAAWe4vCQIAAAAKMjY5LjM3MDM5OQEIAAAABQAAAAExAQAAAAoxODgwMjYyMTMyAwAAAAMxNjACAAAABDQwNTEEAAAAATAHAAAACTkvMjMvMjAxOQgAAAAKMTIvMzEvMjAxNgkAAAABMOcQwSddQNcIYsoFKF1A1wgpQ0lRLlRTRTo3OTc0LklRX0NMT1NFUFJJQ0UuMjAxNi0wMS0xMi5VU0QBAAAApF0NAAIAAAAKMTIyLjc2MDg0NQDnEMEnXUDXCLej/iddQNcIKUNJUS5UU0U6Nzk3NC5JUV9DTE9TRVBSSUNFLjIwMTUtMDUtMTkuVVNEAQAAAKRdDQACAAAACjE4Mi43NTI0NzMA5xDBJ11A1whrQfwnXUDXCCxDSVEuVFNFOjc5NzQuSVFfVEVWX0VCSVREQS5JUV9MVE0uMjAxOC0wMi0wNgEAAACkXQ0AAgAAAAkyNC4xODc3NzEBBwAAAAUAAAABMQEAAAAKMTg3MjYwODY4MgMAAAABMAIAAAAGMTAwMDMwBAAAAAEwBwAAAAgyLzYvMjAxOAgAAAAIMi82LzIwMTjnEMEnXUDXCLej/iddQNcIKUNJUS5UU0U6Nzk3NC5JUV9DTE9TRVBSSUNFLjIwMTktMDEtMjkuVVNEAQAAAKRdDQACAAAACjMwNi4xMTU5MDQA5xDBJ11A1whxaAMoXUDXCCxDSVEuVFNFOjc5NzQuSVFfVEVWX0VCSVREQS5JUV9MVE0uMjAxNi0wOC0xNgEAAACkXQ0AAgAAAAk0Ny44MTI0NTkBBwAAAAUAAAABMQEAAAAKMTgwMjc3Njc3NQMAAAABMAIAAAAGMTAwMDMwBAAAAAEwBwAAAAk4LzE2LzIwMTYIAAAACTgv</t>
  </si>
  <si>
    <t>MTYvMjAxNucQwSddQNcIcWgDKF1A1wgpQ0lRLlRTRTo3OTc0LklRX0NMT1NFUFJJQ0UuMjAxNi0wOC0yMy5VU0QBAAAApF0NAAIAAAAKMjI1LjUyMTUwOADnEMEnXUDXCLej/iddQNcIL0NJUS5OQVNEQVFHUzpBVFZJLklRX1RFVi40MjM2OS4yMDE5LTA5LTIzLi4uVVNEAQAAABdtQAACAAAACzI3ODYzLjEyNzIyAQYAAAAFAAAAATEBAAAACjE3NjMzNjE4NjEDAAAAAzE2MAIAAAAGMTAwMDYwBAAAAAEwBwAAAAoxMi8zMS8yMDE15xDBJ11A1wi3o/4nXUDXCCxDSVEuVFNFOjc5NzQuSVFfVEVWX0VCSVREQS5JUV9MVE0uMjAxNi0wMi0yMwEAAACkXQ0AAgAAAAkyMy45OTM0ODkBBwAAAAUAAAABMQEAAAAKMTc3NjU4NDA0MwMAAAABMAIAAAAGMTAwMDMwBAAAAAEwBwAAAAkyLzIzLzIwMTYIAAAACTIvMjMvMjAxNucQwSddQNcIa0H8J11A1wgyQ0lRLlRTRTo5Njg0LklRX0VCSVREQV9FU1QuQ1kyMDIxLjIwMTktMDktMjMuLi5VU0QBAAAAqX0NAAIAAAAQNDQ3LjE1ODI3ODA4Mjg3MgEOAAAABQAAAAIxMQEAAAABMAIAAAAJNzI2ODYzOTU2AwAAAAYxMDAxODcEAAAAAjU2BgAAAAEwBwAAAAMxNjAIAAAAATAJAAAAATEKAAAAATALAAAACzExNjA4ODkyOTQyDAAAAAE3DQAAAAk5LzI0LzIwMTkQAAAACTkvMjMvMjAxOecQwSddQNcIcWgDKF1A1wgxQ0lRLk5BU0RBUUdTOkVBLklRX0VCSVREQS5DWTIwMTYu</t>
  </si>
  <si>
    <t>MjAxOS0wOS0yMy4uLlVTRAEAAAA7bQAAAgAAAAQxMjIzAQgAAAAFAAAAATEBAAAACjE4NzMyNjc0MDADAAAAAzE2MAIAAAAENDA1MQQAAAABMAcAAAAJOS8yMy8yMDE5CAAAAAoxMi8zMS8yMDE2CQAAAAEw5xDBJ11A1whrQfwnXUDXCCxDSVEuVFNFOjc5NzQuSVFfVEVWX0VCSVREQS5JUV9MVE0uMjAxNy0wNy0xMQEAAACkXQ0AAgAAAAk1OC4zNzY5MDcBBwAAAAUAAAABMQEAAAAKMTg0OTAzMzEzOAMAAAABMAIAAAAGMTAwMDMwBAAAAAEwBwAAAAk3LzExLzIwMTcIAAAACTcvMTEvMjAxN+cQwSddQNcIa0H8J11A1wgqQ0lRLlRTRTo5Njg0LklRX1RFVi40MjczNS4yMDE5LTA5LTIzLi4uVVNEAQAAAKl9DQACAAAACzIzMTUuNzc4NjgxAQYAAAAFAAAAATEBAAAACjE4MTg3NzA3OTcDAAAAAzE2MAIAAAAGMTAwMDYwBAAAAAEwBwAAAAoxMi8zMS8yMDE25xDBJ11A1whrQfwnXUDXCClDSVEuVFNFOjc5NzQuSVFfQ0xPU0VQUklDRS4yMDE2LTA4LTMwLlVTRAEAAACkXQ0AAgAAAAoyMTUuNjQyNDQ3AOcQwSddQNcIAwYBKF1A1wgsQ0lRLlRTRTo3OTc0LklRX1RFVl9FQklUREEuSVFfTFRNLjIwMTYtMDEtMDUBAAAApF0NAAIAAAAJMjQuOTIyODAxAQcAAAAFAAAAATEBAAAACjE3NjUxNTM2NzEDAAAAATACAAAABjEwMDAzMAQAAAABMAcAAAAIMS81LzIwMTYIAAAACDEvNS8yMDE25xDBJ11A1whxaAMoXUDX</t>
  </si>
  <si>
    <t>CClDSVEuVFNFOjc5NzQuSVFfQ0xPU0VQUklDRS4yMDE5LTA2LTE4LlVTRAEAAACkXQ0AAgAAAAozNDcuODUwMTcyAKeZyiddQNcIcWgDKF1A1wgxQ0lRLlRTRTo3OTc0LklRX1JEX0VYUF9GTi5DWTIwMTguMjAxOS0wOS0yMy4uLlVTRAEAAACkXQ0AAgAAAAo1ODMuNjIxMjAxAQgAAAAFAAAAATEBAAAACjE5NDQ1OTc2NTgDAAAAAzE2MAIAAAAEMzE2OAQAAAABMAcAAAAJOS8yMy8yMDE5CAAAAAoxMi8zMS8yMDE4CQAAAAEwp5nKJ11A1whiygUoXUDXCCxDSVEuVFNFOjc5NzQuSVFfVEVWX0VCSVREQS5JUV9MVE0uMjAxOC0xMi0yNQEAAACkXQ0AAgAAAAkxMS43MDMyMDIBBwAAAAUAAAABMQEAAAAKMTkyMTUxODQyMwMAAAABMAIAAAAGMTAwMDMwBAAAAAEwBwAAAAoxMi8yNS8yMDE4CAAAAAoxMi8yNS8yMDE45xDBJ11A1whrQfwnXUDXCCFDSVEuSVFUUjU1MTc5OTY2OS5JUV9DT01QQU5ZX05BTUUBAAAAoCUuEAMAAAAXUGVyZmVjdCBXb3JsZCBDby4sIEx0ZC4A5xDBJ11A1wi3o/4nXUDXCCpDSVEuVFNFOjk2ODQuSVFfVEVWLjQ0MTk2LjIwMTktMDktMjMuLi5VU0QBAAAAqX0NAAIAAAALNDEzMC42MDY3MzYBBgAAAAUAAAABMQEAAAAKMTk3NTc4NjYwOQMAAAADMTYwAgAAAAYxMDAwNjAEAAAAATAHAAAACTkvMjAvMjAxOecQwSddQNcIcWgDKF1A1wgzQ0lRLk5BU0RBUUdTOlRUV08uSVFfRUJJVERB</t>
  </si>
  <si>
    <t>LkNZMjAxNS4yMDE5LTA5LTIzLi4uVVNEAQAAAFGqBQACAAAACC0yMTEuMTY4AQgAAAAFAAAAATEBAAAACjE4MjcwMDAxMDcDAAAAAzE2MAIAAAAENDA1MQQAAAABMAcAAAAJOS8yMy8yMDE5CAAAAAoxMi8zMS8yMDE1CQAAAAEw5xDBJ11A1whrQfwnXUDXCClDSVEuVFNFOjc5NzQuSVFfQ0xPU0VQUklDRS4yMDE3LTA2LTI3LlVTRAEAAACkXQ0AAgAAAAozNTAuMjExNTIzAOcQwSddQNcIt6P+J11A1wgsQ0lRLlRTRTo3OTc0LklRX1RFVl9FQklUREEuSVFfTFRNLjIwMTktMDktMDMBAAAApF0NAAIAAAAJMTQuODk4MDg3AQcAAAAFAAAAATEBAAAACjE5NzU3OTI0NzADAAAAATACAAAABjEwMDAzMAQAAAABMAcAAAAIOS8zLzIwMTkIAAAACDkvMy8yMDE5p5nKJ11A1whrQfwnXUDXCDRDSVEuVFNFOjc5NzQuSVFfR1JPU1NfUFJPRklULkNZMjAxNy4yMDE5LTA5LTIzLi4uVVNEAQAAAKRdDQACAAAACzM0MTkuMzM2NzkzAQgAAAAFAAAAATEBAAAACjE4NzQxOTMzNDADAAAAAzE2MAIAAAACMTAEAAAAATAHAAAACTkvMjMvMjAxOQgAAAAKMTIvMzEvMjAxNwkAAAABMKeZyiddQNcIYsoFKF1A1wg2Q0lRLktPU0U6QTI1MTI3MC5JUV9FQklUREFfRVNULkNZMjAyMi4yMDE5LTA5LTIzLi4uVVNEAQAAAFnuLwkDAAAAAADnEMEnXUDXCHFoAyhdQNcIKUNJUS5UU0U6Nzk3NC5JUV9DTE9TRVBSSUNFLjIwMTgtMDYt</t>
  </si>
  <si>
    <t>MDUuVVNEAQAAAKRdDQACAAAACjM3Mi40NTM0MDUA5xDBJ11A1wgDBgEoXUDXCClDSVEuVFNFOjc5NzQuSVFfQ0xPU0VQUklDRS4yMDE3LTA5LTE5LlVTRAEAAACkXQ0AAgAAAAozNjcuMDE3NjkyAOcQwSddQNcIt6P+J11A1wgsQ0lRLlRTRTo3OTc0LklRX1RFVl9FQklUREEuSVFfTFRNLjIwMTktMDYtMTgBAAAApF0NAAIAAAAJMTIuODIxMDI1AQcAAAAFAAAAATEBAAAACjE5NTY3NDgwODYDAAAAATACAAAABjEwMDAzMAQAAAABMAcAAAAJNi8xOC8yMDE5CAAAAAk2LzE4LzIwMTmnmconXUDXCGLKBShdQNcILENJUS5UU0U6Nzk3NC5JUV9URVZfRUJJVERBLklRX0xUTS4yMDE2LTA5LTA2AQAAAKRdDQACAAAACTUzLjY1MDQ3NQEHAAAABQAAAAExAQAAAAoxODAyNzc2Nzc1AwAAAAEwAgAAAAYxMDAwMzAEAAAAATAHAAAACDkvNi8yMDE2CAAAAAg5LzYvMjAxNucQwSddQNcIa0H8J11A1wgvQ0lRLk5BU0RBUUdTOkFUVkkuSVFfR1AuQ1kyMDE1LjIwMTktMDktMjMuLi5VU0QBAAAAF21AAAIAAAAEMzA3OQEIAAAABQAAAAExAQAAAAoxODc2NzU0ODc3AwAAAAMxNjACAAAAAjEwBAAAAAEwBwAAAAk5LzIzLzIwMTkIAAAACjEyLzMxLzIwMTUJAAAAATDnEMEnXUDXCHFoAyhdQNcIL0NJUS5OQVNEQVFHUzpUVFdPLklRX0dQLkNZMjAxNi4yMDE5LTA5LTIzLi4uVVNEAQAAAFGqBQACAAAABzcwNy43NDUBCAAA</t>
  </si>
  <si>
    <t>AAUAAAABMQEAAAAKMTg3MzUzNDI4MgMAAAADMTYwAgAAAAIxMAQAAAABMAcAAAAJOS8yMy8yMDE5CAAAAAoxMi8zMS8yMDE2CQAAAAEw5xDBJ11A1whxaAMoXUDXCClDSVEuVFNFOjc5NzQuSVFfQ0xPU0VQUklDRS4yMDE4LTA5LTE4LlVTRAEAAACkXQ0AAgAAAAozNDcuNTc0NTYxAOcQwSddQNcIt6P+J11A1wgpQ0lRLlRTRTo3OTc0LklRX0NMT1NFUFJJQ0UuMjAxNi0wNC0xOS5VU0QBAAAApF0NAAIAAAAKMTU1LjU4NTA1NADnEMEnXUDXCGtB/CddQNcIKUNJUS5JUVRSMzE0MjIwMDU5LklRX1RSX0lNUExJRURfRVZfRUJJVERBAQAAABueuhICAAAACTQ1LjQ4NTU3MQEGAAAABQAAAAI1NAEAAAAGMTAyMDk0AgAAAAkzMTQyMjAwNTkDAAAACTMxNDIyMDI2NAQAAAACNTAGAAAABUZhbHNl5xDBJ11A1whrQfwnXUDXCCxDSVEuVFNFOjc5NzQuSVFfVEVWX0VCSVREQS5JUV9MVE0uMjAxOC0xMS0wNgEAAACkXQ0AAgAAAAgxNS41MDc2MwEHAAAABQAAAAExAQAAAAoxOTE2NzQ2NTc4AwAAAAEwAgAAAAYxMDAwMzAEAAAAATAHAAAACTExLzYvMjAxOAgAAAAJMTEvNi8yMDE45xDBJ11A1whiygUoXUDXCCxDSVEuVFNFOjc5NzQuSVFfVEVWX0VCSVREQS5JUV9MVE0uMjAxOS0wNy0wOQEAAACkXQ0AAgAAAAkxNC4wOTE3MzUBBwAAAAUAAAABMQEAAAAKMTk3MDIyMDUxNQMAAAABMAIAAAAGMTAwMDMwBAAAAAEw</t>
  </si>
  <si>
    <t>BwAAAAg3LzkvMjAxOQgAAAAINy85LzIwMTmnmconXUDXCGtB/CddQNcIKUNJUS5UU0U6Nzk3NC5JUV9DTE9TRVBSSUNFLjIwMTgtMDUtMTUuVVNEAQAAAKRdDQACAAAACjQxNy4xOTU3MTIA5xDBJ11A1whrQfwnXUDXCDRDSVEuVFNFOjc5NzQuSVFfR1JPU1NfUFJPRklULkNZMjAxNS4yMDE5LTA5LTIzLi4uVVNEAQAAAKRdDQACAAAACzE4NzEuMzgxMTMyAQgAAAAFAAAAATEBAAAACjE3NzY1ODQwNDMDAAAAAzE2MAIAAAACMTAEAAAAATAHAAAACTkvMjMvMjAxOQgAAAAKMTIvMzEvMjAxNQkAAAABMKeZyiddQNcIcWgDKF1A1wgsQ0lRLlRTRTo3OTc0LklRX1RFVl9FQklUREEuSVFfTFRNLjIwMTktMDQtMDIBAAAApF0NAAIAAAAJMTEuMDg2NTU3AQcAAAAFAAAAATEBAAAACjE5NDQ1OTc2NTgDAAAAATACAAAABjEwMDAzMAQAAAABMAcAAAAINC8yLzIwMTkIAAAACDQvMi8yMDE55xDBJ11A1wi3o/4nXUDXCClDSVEuVFNFOjc5NzQuSVFfQ0xPU0VQUklDRS4yMDE4LTA1LTIyLlVTRAEAAACkXQ0AAgAAAAozOTkuMDA5NDY3AOcQwSddQNcIcWgDKF1A1wgpQ0lRLlRTRTo3OTc0LklRX0NMT1NFUFJJQ0UuMjAxOC0wNS0wOC5VU0QBAAAApF0NAAIAAAAKNDMyLjIwNDk0OADnEMEnXUDXCAMGAShdQNcIKUNJUS5UU0U6Nzk3NC5JUV9DTE9TRVBSSUNFLjIwMTYtMDEtMTkuVVNEAQAAAKRdDQACAAAACjEzNS44</t>
  </si>
  <si>
    <t>MzA3ODEA5xDBJ11A1wgDBgEoXUDXCCxDSVEuVFNFOjc5NzQuSVFfVEVWX0VCSVREQS5JUV9MVE0uMjAxNy0xMC0zMQEAAACkXQ0AAgAAAAg0NC4wNDc2NAEHAAAABQAAAAExAQAAAAoxODYzMDc2Nzk0AwAAAAEwAgAAAAYxMDAwMzAEAAAAATAHAAAACjEwLzMxLzIwMTcIAAAACjEwLzMxLzIwMTfnEMEnXUDXCGtB/CddQNcINENJUS5UU0U6Nzk3NC5JUV9HUk9TU19QUk9GSVQuQ1kyMDE2LjIwMTktMDktMjMuLi5VU0QBAAAApF0NAAIAAAALMTUyMi4zMjExMTIBCAAAAAUAAAABMQEAAAAKMTgyNzc2Nzc5NwMAAAADMTYwAgAAAAIxMAQAAAABMAcAAAAJOS8yMy8yMDE5CAAAAAoxMi8zMS8yMDE2CQAAAAEwp5nKJ11A1whiygUoXUDXCCxDSVEuVFNFOjc5NzQuSVFfVEVWX0VCSVREQS5JUV9MVE0uMjAxNy0xMi0wNQEAAACkXQ0AAgAAAAk0Mi42NzQ0MjIBBwAAAAUAAAABMQEAAAAKMTg2NTc5MjM2MwMAAAABMAIAAAAGMTAwMDMwBAAAAAEwBwAAAAkxMi81LzIwMTcIAAAACTEyLzUvMjAxN+cQwSddQNcIcWgDKF1A1wgpQ0lRLlRTRTo3OTc0LklRX0NMT1NFUFJJQ0UuMjAxNi0wOC0wOS5VU0QBAAAApF0NAAIAAAAKMjI0LjEyOTQ4MQDnEMEnXUDXCGtB/CddQNcIKUNJUS5UU0U6Nzk3NC5JUV9DTE9TRVBSSUNFLjIwMTYtMDYtMjEuVVNEAQAAAKRdDQACAAAACjE0NC4yNTY5NTkA5xDBJ11A1whxaAMoXUDX</t>
  </si>
  <si>
    <t>CCxDSVEuVFNFOjc5NzQuSVFfVEVWX0VCSVREQS5JUV9MVE0uMjAxNi0wNy0xMgEAAACkXQ0AAgAAAAk0MS43ODEzMDYBBwAAAAUAAAABMQEAAAAKMTc5OTI0OTA1NwMAAAABMAIAAAAGMTAwMDMwBAAAAAEwBwAAAAk3LzEyLzIwMTYIAAAACTcvMTIvMjAxNucQwSddQNcIa0H8J11A1wg1Q0lRLlRTRTo5Njg0LklRX0NBU0hfSU5URVJFU1QuSVFfTFRNLjIwMTktMDktMjMuLi5VU0QBAAAAqX0NAAMAAAAAAKeZyiddQNcIa0H8J11A1wgsQ0lRLlRTRTo3OTc0LklRX1RFVl9FQklUREEuSVFfTFRNLjIwMTgtMDItMjcBAAAApF0NAAIAAAAJMjcuNTA4Mzg3AQcAAAAFAAAAATEBAAAACjE4NzQxOTMzNDADAAAAATACAAAABjEwMDAzMAQAAAABMAcAAAAJMi8yNy8yMDE4CAAAAAkyLzI3LzIwMTjnEMEnXUDXCGLKBShdQNcIPkNJUS5OQVNEQVFHUzpUVFdPLklRX1NIT1JUX0JVU0lORVNTX0RFU0NSSVBUSU9OLjIwMTktMDktMjMuVVNEAQAAAFGqBQADAAAAgQFUYWtlLVR3byBJbnRlcmFjdGl2ZSBTb2Z0d2FyZSwgSW5jLiBkZXZlbG9wcywgcHVibGlzaGVzLCBhbmQgbWFya2V0cyBpbnRlcmFjdGl2ZSBlbnRlcnRhaW5tZW50IHNvbHV0aW9ucyBmb3IgY29uc3VtZXJzIHdvcmxkd2lkZS4A5xDBJ11A1wi3o/4nXUDXCClDSVEuVFNFOjc5NzQuSVFfQ0xPU0VQUklDRS4yMDE4LTA5LTI1LlVTRAEAAACkXQ0AAgAA</t>
  </si>
  <si>
    <t>AAozNjguNTMyOTQ0AOcQwSddQNcIAwYBKF1A1wgsQ0lRLlRTRTo3OTc0LklRX1RFVl9FQklUREEuSVFfTFRNLjIwMTctMDQtMDQBAAAApF0NAAIAAAAJNDguODE2NTg1AQcAAAAFAAAAATEBAAAACjE4Mjc3Njc3OTcDAAAAATACAAAABjEwMDAzMAQAAAABMAcAAAAINC80LzIwMTcIAAAACDQvNC8yMDE35xDBJ11A1wi3o/4nXUDXCCxDSVEuRU5YVFBBOlVCSS5JUV9HUC5DWTIwMTguMjAxOS0wOS0yMy4uLlVTRAEAAAAZdg0AAgAAAAsxODQxLjk1NDQzMQEIAAAABQAAAAExAQAAAAoxOTY4NDYyOTAwAwAAAAMxNjACAAAAAjEwBAAAAAEwBwAAAAk5LzIzLzIwMTkIAAAACjEyLzMxLzIwMTgJAAAAATDnEMEnXUDXCLej/iddQNcILENJUS5UU0U6Nzk3NC5JUV9URVZfRUJJVERBLklRX0xUTS4yMDE4LTEyLTA0AQAAAKRdDQACAAAACTE0LjY2NDc1NgEHAAAABQAAAAExAQAAAAoxOTIxNTE4NDIzAwAAAAEwAgAAAAYxMDAwMzAEAAAAATAHAAAACTEyLzQvMjAxOAgAAAAJMTIvNC8yMDE45xDBJ11A1whiygUoXUDXCDFDSVEuVFNFOjk2ODQuSVFfVE9UQUxfUkVWLkNZMjAxNy4yMDE5LTA5LTIzLi4uVVNEAQAAAKl9DQACAAAACzIyNjIuNDQwNjI1AQgAAAAFAAAAATEBAAAACjE4NzQwMDc5MTUDAAAAAzE2MAIAAAACMjgEAAAAATAHAAAACTkvMjMvMjAxOQgAAAAKMTIvMzEvMjAxNwkAAAABMOcQwSddQNcIt6P+</t>
  </si>
  <si>
    <t>J11A1wgxQ0lRLkVOWFRQQTpVQkkuSVFfUEVfRVhDTC5JUV9MVE0uMjAxOS0wOS0yMy4uLlVTRAEAAAAZdg0AAgAAAAk3OC4xMDEyNTMBBwAAAAUAAAABMQEAAAAKMTk2ODQ2Mjg3MQMAAAABMAIAAAAGMTAwMDI3BAAAAAEwBwAAAAk5LzIzLzIwMTkIAAAACTkvMjMvMjAxOecQwSddQNcIAwYBKF1A1wgwQ0lRLkVOWFRQQTpVQkkuSVFfRUJJVERBLklRX0xUTS4yMDE5LTA5LTIzLi4uVVNEAQAAABl2DQACAAAACTI3NS45MTgwNwEIAAAABQAAAAExAQAAAAoxOTY4NDYyODcxAwAAAAMxNjACAAAABDQwNTEEAAAAATAHAAAACTkvMjMvMjAxOQgAAAAJMy8zMS8yMDE5CQAAAAEw5xDBJ11A1whrQfwnXUDXCDFDSVEuVFNFOjk2ODQuSVFfVE9UQUxfUkVWLkNZMjAxNS4yMDE5LTA5LTIzLi4uVVNEAQAAAKl9DQACAAAACzE2NzguNjc3Mjk1AQgAAAAFAAAAATEBAAAACjE3NzU4MTIwMTYDAAAAAzE2MAIAAAACMjgEAAAAATAHAAAACTkvMjMvMjAxOQgAAAAKMTIvMzEvMjAxNQkAAAABMOcQwSddQNcIa0H8J11A1wgpQ0lRLlRTRTo3OTc0LklRX0NMT1NFUFJJQ0UuMjAxNi0wMy0yOS5VU0QBAAAApF0NAAIAAAAKMTQ4LjE3NDI4NgDnEMEnXUDXCHFoAyhdQNcILENJUS5UU0U6Nzk3NC5JUV9URVZfRUJJVERBLklRX0xUTS4yMDE1LTA3LTI4AQAAAKRdDQACAAAACTQ2LjYxMDA5NAEHAAAABQAAAAExAQAAAAoxNzQ1</t>
  </si>
  <si>
    <t>OTIyNzcyAwAAAAEwAgAAAAYxMDAwMzAEAAAAATAHAAAACTcvMjgvMjAxNQgAAAAJNy8yOC8yMDE15xDBJ11A1wgDBgEoXUDXCCxDSVEuVFNFOjc5NzQuSVFfVEVWX0VCSVREQS5JUV9MVE0uMjAxOC0wNy0yNAEAAACkXQ0AAgAAAAkxNy41OTMyMTIBBwAAAAUAAAABMQEAAAAKMTg5NTE5MDMxMgMAAAABMAIAAAAGMTAwMDMwBAAAAAEwBwAAAAk3LzI0LzIwMTgIAAAACTcvMjQvMjAxOOcQwSddQNcIt6P+J11A1wgpQ0lRLlRTRTo3OTc0LklRX0NMT1NFUFJJQ0UuMjAxNy0wMi0yOC5VU0QBAAAApF0NAAIAAAAKMjA5LjgzMDc5NQDnEMEnXUDXCHFoAyhdQNcIKUNJUS5UU0U6Nzk3NC5JUV9DTE9TRVBSSUNFLjIwMTctMTItMTkuVVNEAQAAAKRdDQACAAAACjM3Ny44NzEyMTgA5xDBJ11A1wgDBgEoXUDXCDJDSVEuVFNFOjc5NzQuSVFfRUJJVERBX0VTVC5DWTIwMjAuMjAxOS0wOS0yMy4uLlVTRAEAAACkXQ0AAgAAAA8zMzYwLjA2NDc5OTI3MjcBDgAAAAUAAAACMTEBAAAAATACAAAACTY1MjkxNDE3OQMAAAAGMTAwMTg3BAAAAAI1NgYAAAABMAcAAAADMTYwCAAAAAEwCQAAAAExCgAAAAEwCwAAAAsxMTYwMzU3NDExNQwAAAABNw0AAAAJOS8yNC8yMDE5EAAAAAk5LzIzLzIwMTnnEMEnXUDXCGtB/CddQNcIM0NJUS5UU0U6MzY1OS5JUV9SRVZFTlVFX0VTVC5DWTIwMjAuMjAxOS0wOS0yMy4uLlVTRAEAAACe</t>
  </si>
  <si>
    <t>H4IIAgAAABAyNjYyLjc2MDA0NzUyMjY1AQ4AAAAFAAAAAjExAQAAAAEwAgAAAAoxMDAxNDIyODI0AwAAAAYxMDAxODAEAAAAATMGAAAAATAHAAAAAzE2MAgAAAABMAkAAAABMQoAAAABMAsAAAALMTE2MDM0NDc1OTkMAAAAATcNAAAACTkvMjQvMjAxORAAAAAJOS8yMy8yMDE55xDBJ11A1wgDBgEoXUDXCCxDSVEuVFNFOjc5NzQuSVFfVEVWX0VCSVREQS5JUV9MVE0uMjAxNy0wMS0zMQEAAACkXQ0AAgAAAAk0Mi41MTI5MDMBBwAAAAUAAAABMQEAAAAKMTgyNTkyMjA3MgMAAAABMAIAAAAGMTAwMDMwBAAAAAEwBwAAAAkxLzMxLzIwMTcIAAAACTEvMzEvMjAxN+cQwSddQNcIYsoFKF1A1wgpQ0lRLlRTRTo3OTc0LklRX0NMT1NFUFJJQ0UuMjAxOS0wNy0yMy5VU0QBAAAApF0NAAIAAAAKMzY5LjYzNzAxNQCnmconXUDXCLej/iddQNcII0NJUS5JUVRSNTUxNzk5NjY5LklRX1RSX0NMT1NFRF9EQVRFAQAAAHXL4yAFAAAACjIwMTgtMDQtMTcA5xDBJ11A1wgDBgEoXUDXCC5DSVEuVFNFOjM2NTkuSVFfRUJJVERBLkNZMjAxNS4yMDE5LTA5LTIzLi4uVVNEAQAAAJ4fgggCAAAACjY2NS45NDAxMzYBCAAAAAUAAAABMQEAAAAKMTc4NDQ5OTE4NAMAAAADMTYwAgAAAAQ0MDUxBAAAAAEwBwAAAAk5LzIzLzIwMTkIAAAACjEyLzMxLzIwMTUJAAAAATDnEMEnXUDXCAMGAShdQNcIL0NJUS5OQVNEQVFHUzpBVFZJLklR</t>
  </si>
  <si>
    <t>X1RFVi40MzQ2NS4yMDE5LTA5LTIzLi4uVVNEAQAAABdtQAACAAAADDM0NzgxLjI3MTkzNwEGAAAABQAAAAExAQAAAAoxOTIwNjMyMDk2AwAAAAMxNjACAAAABjEwMDA2MAQAAAABMAcAAAAKMTIvMzEvMjAxOOcQwSddQNcIcWgDKF1A1wgqQ0lRLlRTRTo5Njg0LklRX0dQLkNZMjAxNy4yMDE5LTA5LTIzLi4uVVNEAQAAAKl9DQACAAAACzExMjQuMjE1Mzg1AQgAAAAFAAAAATEBAAAACjE4NzQwMDc5MTUDAAAAAzE2MAIAAAACMTAEAAAAATAHAAAACTkvMjMvMjAxOQgAAAAKMTIvMzEvMjAxNwkAAAABMOcQwSddQNcIAwYBKF1A1wgpQ0lRLlRTRTo3OTc0LklRX0NMT1NFUFJJQ0UuMjAxNy0wNS0wOS5VU0QBAAAApF0NAAIAAAAKMjUxLjg2MjU2MgDnEMEnXUDXCAMGAShdQNcIKkNJUS5UU0U6OTY4NC5JUV9HUC5DWTIwMTYuMjAxOS0wOS0yMy4uLlVTRAEAAACpfQ0AAgAAAAo4OTcuNTMzMTM5AQgAAAAFAAAAATEBAAAACjE4Mjc1MDgyMDcDAAAAAzE2MAIAAAACMTAEAAAAATAHAAAACTkvMjMvMjAxOQgAAAAKMTIvMzEvMjAxNgkAAAABMOcQwSddQNcIt6P+J11A1wgpQ0lRLlRTRTo3OTc0LklRX0NMT1NFUFJJQ0UuMjAxOC0wMS0xNi5VU0QBAAAApF0NAAIAAAAKNDA3LjE0ODMzNQDnEMEnXUDXCAMGAShdQNcILENJUS5UU0U6Nzk3NC5JUV9URVZfRUJJVERBLklRX0xUTS4yMDE3LTA5LTE5AQAAAKRdDQAC</t>
  </si>
  <si>
    <t>AAAACTQ4LjExMTY1OAEHAAAABQAAAAExAQAAAAoxODU0MDQzODg4AwAAAAEwAgAAAAYxMDAwMzAEAAAAATAHAAAACTkvMTkvMjAxNwgAAAAJOS8xOS8yMDE35xDBJ11A1wi3o/4nXUDXCCJDSVEuVFNFOjk2ODQuSVFfVEVWLjIwMTktMDktMjMuVVNEAQAAAKl9DQACAAAACzQxMzAuNjA2NzM2AQYAAAAFAAAAATEBAAAACjE5NzU3ODY2MDkDAAAAAzE2MAIAAAAGMTAwMDYwBAAAAAEwBwAAAAk5LzIwLzIwMTnnEMEnXUDXCAMGAShdQNcILENJUS5UU0U6Nzk3NC5JUV9URVZfRUJJVERBLklRX0xUTS4yMDE2LTA1LTI0AQAAAKRdDQACAAAACTIyLjQ3OTM5NwEHAAAABQAAAAExAQAAAAoxNzg3OTI1ODc2AwAAAAEwAgAAAAYxMDAwMzAEAAAAATAHAAAACTUvMjQvMjAxNggAAAAJNS8yNC8yMDE25xDBJ11A1whiygUoXUDXCClDSVEuVFNFOjc5NzQuSVFfQ0xPU0VQUklDRS4yMDE4LTAzLTA2LlVTRAEAAACkXQ0AAgAAAAo0NDguNTc2OTY4AOcQwSddQNcIt6P+J11A1wgyQ0lRLlRTRTo5Njg0LklRX1RPVEFMX0RFQlQuSVFfTFRNLjIwMTktMDktMjMuLi5VU0QBAAAAqX0NAAIAAAAJNzYuMTg4NzExAQgAAAAFAAAAATEBAAAACjE5NzU3OTI2NDMDAAAAAzE2MAIAAAAENDE3MwQAAAABMAcAAAAJOS8yMy8yMDE5CAAAAAk2LzMwLzIwMTkJAAAAATCnmconXUDXCLej/iddQNcILENJUS5UU0U6Nzk3NC5JUV9URVZf</t>
  </si>
  <si>
    <t>RUJJVERBLklRX0xUTS4yMDE3LTA1LTIzAQAAAKRdDQACAAAACTQ3LjY0ODM0NgEHAAAABQAAAAExAQAAAAoxODM4MjA0MDc0AwAAAAEwAgAAAAYxMDAwMzAEAAAAATAHAAAACTUvMjMvMjAxNwgAAAAJNS8yMy8yMDE35xDBJ11A1whiygUoXUDXCClDSVEuVFNFOjc5NzQuSVFfQ0xPU0VQUklDRS4yMDE5LTA3LTMwLlVTRAEAAACkXQ0AAgAAAAozNzMuNDc0OTIyAKeZyiddQNcIAwYBKF1A1wg2Q0lRLktPU0U6QTI1MTI3MC5JUV9UT1RBTF9ERUJULklRX0xUTS4yMDE5LTA5LTIzLi4uVVNEAQAAAFnuLwkCAAAACTE5Ni42Nzg2NAEIAAAABQAAAAExAQAAAAoxOTgxMTcwMDUyAwAAAAMxNjACAAAABDQxNzMEAAAAATAHAAAACTkvMjMvMjAxOQgAAAAJNi8zMC8yMDE5CQAAAAEwp5nKJ11A1whxaAMoXUDXCCxDSVEuVFNFOjc5NzQuSVFfVEVWX0VCSVREQS5JUV9MVE0uMjAxOS0wMy0wNQEAAACkXQ0AAgAAAAkxMC40MzY1MDkBBwAAAAUAAAABMQEAAAAKMTk0NDU5NzY1OAMAAAABMAIAAAAGMTAwMDMwBAAAAAEwBwAAAAgzLzUvMjAxOQgAAAAIMy81LzIwMTnnEMEnXUDXCLej/iddQNcIO0NJUS5FTlhUUEE6VUJJLklRX1NIT1JUX0JVU0lORVNTX0RFU0NSSVBUSU9OLjIwMTktMDktMjMuVVNEAQAAABl2DQADAAAAowFVYmlzb2Z0IEVudGVydGFpbm1lbnQgU0EgcHJvZHVjZSwgcHVibGlzaGVzLCBhbmQgZGlz</t>
  </si>
  <si>
    <t>dHJpYnV0ZXMgdmlkZW8gZ2FtZXMgZm9yIGNvbnNvbGVzLCBQQywgc21hcnRwaG9uZXMsIGFuZCB0YWJsZXRzIGluIGJvdGggcGh5c2ljYWwgYW5kIGRpZ2l0YWwgZm9ybWF0cyB3b3JsZHdpZGUuAOcQwSddQNcIcWgDKF1A1wgpQ0lRLlRTRTo3OTc0LklRX0NMT1NFUFJJQ0UuMjAxNy0wNC0wNC5VU0QBAAAApF0NAAIAAAAKMjM1LjM3NjQ5MwDnEMEnXUDXCLej/iddQNcIKUNJUS5UU0U6Nzk3NC5JUV9DTE9TRVBSSUNFLjIwMTctMDUtMzAuVVNEAQAAAKRdDQACAAAACjMwNy4wMDQ4NjkA5xDBJ11A1wi3o/4nXUDXCDRDSVEuRU5YVFBBOlVCSS5JUV9FQklUREFfRVNULkNZMjAxOS4yMDE5LTA5LTIzLi4uVVNEAQAAABl2DQACAAAAEDgzNS4yNzI3MDcxOTA4MTkBDgAAAAUAAAACMTEBAAAAATACAAAACDEwMjUyMzQ2AwAAAAYxMDAxODcEAAAAATMGAAAAATAHAAAAAzE2MAgAAAABMAkAAAABMQoAAAABMAsAAAALMTE1OTkyNTkzMzEMAAAAATcNAAAACTkvMjQvMjAxORAAAAAJOS8yMy8yMDE55xDBJ11A1whrQfwnXUDXCCxDSVEuVFNFOjc5NzQuSVFfVEVWX0VCSVREQS5JUV9MVE0uMjAxNy0wMy0yMQEAAACkXQ0AAgAAAAg0OS4zODIwMgEHAAAABQAAAAExAQAAAAoxODI3NzY3Nzk3AwAAAAEwAgAAAAYxMDAwMzAEAAAAATAHAAAACTMvMjEvMjAxNwgAAAAJMy8yMS8yMDE35xDBJ11A1whrQfwnXUDXCClD</t>
  </si>
  <si>
    <t>SVEuVFNFOjc5NzQuSVFfQ0xPU0VQUklDRS4yMDE3LTA3LTE4LlVTRAEAAACkXQ0AAgAAAAozMjYuMTI1ODIxAOcQwSddQNcIcWgDKF1A1wgsQ0lRLlRTRTo3OTc0LklRX1RFVl9FQklUREEuSVFfTFRNLjIwMTktMDEtMjIBAAAApF0NAAIAAAAIMTUuMDYxMTQBBwAAAAUAAAABMQEAAAAKMTkyMTUxODQyMwMAAAABMAIAAAAGMTAwMDMwBAAAAAEwBwAAAAkxLzIyLzIwMTkIAAAACTEvMjIvMjAxOecQwSddQNcIa0H8J11A1wgpQ0lRLlRTRTo3OTc0LklRX0NMT1NFUFJJQ0UuMjAxNS0xMi0xNS5VU0QBAAAApF0NAAIAAAAKMTM5LjAwNTM0MQDnEMEnXUDXCLej/iddQNcIL0NJUS5FTlhUUEE6VUJJLklRX0NVU1RPTV9CRVRBLi4yMDE5LTA5LTIzLi4uVVNEAQAAABl2DQACAAAAEDEuMDczNjU4MzI1MzE1NDIAp5nKJ11A1wgDBgEoXUDXCClDSVEuVFNFOjc5NzQuSVFfQ0xPU0VQUklDRS4yMDE4LTEyLTExLlVTRAEAAACkXQ0AAgAAAAgyODcuNTUyOQDnEMEnXUDXCLej/iddQNcIKkNJUS5UU0U6MzY1OS5JUV9URVYuNDQ5MjYuMjAxOS0wOS0yMy4uLlVTRAEAAACeH4IIAgAAAAs3MDExLjMwNDAwNgEGAAAABQAAAAExAQAAAAoxOTc1Nzg2NjIyAwAAAAMxNjACAAAABjEwMDA2MAQAAAABMAcAAAAJOS8yMC8yMDE55xDBJ11A1wgDBgEoXUDXCCxDSVEuVFNFOjc5NzQuSVFfVEVWX0VCSVREQS5JUV9MVE0uMjAx</t>
  </si>
  <si>
    <t>OC0wNC0xNwEAAACkXQ0AAgAAAAkyNC4xNTQyOTcBBwAAAAUAAAABMQEAAAAKMTg3NDE5MzM0MAMAAAABMAIAAAAGMTAwMDMwBAAAAAEwBwAAAAk0LzE3LzIwMTgIAAAACTQvMTcvMjAxOOcQwSddQNcIa0H8J11A1wgzQ0lRLk5BU0RBUUdTOlRUV08uSVFfRUJJVERBLkNZMjAxNy4yMDE5LTA5LTIzLi4uVVNEAQAAAFGqBQACAAAABzI0Ny4wMDMBCAAAAAUAAAABMQEAAAAKMTk0MzkyNTIzNAMAAAADMTYwAgAAAAQ0MDUxBAAAAAEwBwAAAAk5LzIzLzIwMTkIAAAACjEyLzMxLzIwMTcJAAAAATDnEMEnXUDXCLej/iddQNcIK0NJUS5UU0U6MzY1OS5JUV9DT01QQU5ZX05BTUUuMjAxOS0wOS0yMy5VU0QBAAAAnh+CCAMAAAAPTkVYT04gQ28uLCBMdGQuAOcQwSddQNcIYsoFKF1A1wgpQ0lRLlRTRTo3OTc0LklRX0NMT1NFUFJJQ0UuMjAxNi0wNS0wMy5VU0QBAAAApF0NAAMAAAAAAOcQwSddQNcIcWgDKF1A1wg5Q0lRLlRTRTo3OTc0LklRX1NIT1JUX0JVU0lORVNTX0RFU0NSSVBUSU9OLjIwMTktMDktMjMuVVNEAQAAAKRdDQADAAAAyAFOaW50ZW5kbyBDby4sIEx0ZC4sIHRvZ2V0aGVyIHdpdGggaXRzIHN1YnNpZGlhcmllcywgZGV2ZWxvcHMsIG1hbnVmYWN0dXJlcywgYW5kIGRpc3RyaWJ1dGVzIGVsZWN0cm9uaWMgZW50ZXJ0YWlubWVudCBwcm9kdWN0cyBpbiBKYXBhbiwgdGhlIFVuaXRlZCBTdGF0ZXMs</t>
  </si>
  <si>
    <t>IEV1cm9wZSwgQXVzdHJhbGlhLCBBc2lhLCBhbmQgaW50ZXJuYXRpb25hbGx5LgDnEMEnXUDXCGLKBShdQNcIKENJUS5OQVNEQVFHUzpFQS5JUV9URVYuLjIwMTktMDktMjMuLi5VU0QBAAAAO20AAAIAAAAMMjQ5ODIuMzgxNDY2AQYAAAAFAAAAATEBAAAACjE5NzQyMzUzNDkDAAAAAzE2MAIAAAAGMTAwMDYwBAAAAAEwBwAAAAk5LzIzLzIwMTnnEMEnXUDXCAMGAShdQNcIN0NJUS5OQVNEQVFHUzpBVFZJLklRX0VCSVREQV9FU1QuQ1kyMDE5LjIwMTktMDktMjMuLi5VU0QBAAAAF21AAAIAAAAKMjIyNS4xNTgwMQEOAAAABQAAAAIxMQEAAAABMAIAAAAKMTAwMDc3ODQ1MAMAAAAGMTAwMTg3BAAAAAEyBgAAAAEwBwAAAAMxNjAIAAAAATAJAAAAATEKAAAAATALAAAACzExNjEwMDEyNTg2DAAAAAE3DQAAAAk5LzI0LzIwMTkQAAAACTkvMjMvMjAxOecQwSddQNcIYsoFKF1A1wgsQ0lRLlRTRTo3OTc0LklRX1RFVl9FQklUREEuSVFfTFRNLjIwMTktMDQtMzABAAAApF0NAAIAAAAJMTIuOTU1MjY4AQcAAAAFAAAAATEBAAAACjE5NTY3NDgwODYDAAAAATACAAAABjEwMDAzMAQAAAABMAcAAAAJNC8yNi8yMDE5CAAAAAk0LzI2LzIwMTnnEMEnXUDXCLej/iddQNcIIkNJUS5JUVRSNTUxNzk5NjY5LklRX1RSX1RPVEFMVkFMVUUBAAAAdcvjIAIAAAAJMjU4My45NDY4AQYAAAAFAAAAAjU0AQAAAAYxMDA1MDQCAAAA</t>
  </si>
  <si>
    <t>CTU1MTc5OTY2OQMAAAAJNTUxNzk5NjY5BAAAAAIzMgYAAAAFRmFsc2XnEMEnXUDXCHFoAyhdQNcIM0NJUS5OQVNEQVFHUzpUVFdPLklRX0VCSVREQS5DWTIwMTYuMjAxOS0wOS0yMy4uLlVTRAEAAABRqgUAAgAAAAY5NS40MTgBCAAAAAUAAAABMQEAAAAKMTg3MzUzNDI4MgMAAAADMTYwAgAAAAQ0MDUxBAAAAAEwBwAAAAk5LzIzLzIwMTkIAAAACjEyLzMxLzIwMTYJAAAAATDnEMEnXUDXCLej/iddQNcINUNJUS5FTlhUUEE6VUJJLklRX1JFVkVOVUVfRVNULkNZMjAyMi4yMDE5LTA5LTIzLi4uVVNEAQAAABl2DQACAAAAEDI5MDQuMDczODk0NTY3MzMBDgAAAAUAAAACMTEBAAAAATACAAAACDQ3NTE0NzE5AwAAAAYxMDAxODAEAAAAATMGAAAAATAHAAAAAzE2MAgAAAABMAkAAAABMQoAAAABMAsAAAALMTE2MDUxNjU5NTAMAAAAATcNAAAACTkvMjQvMjAxORAAAAAJOS8yMy8yMDE55xDBJ11A1whiygUoXUDXCCxDSVEuVFNFOjc5NzQuSVFfVEVWX0VCSVREQS5JUV9MVE0uMjAxOC0wOS0xOAEAAACkXQ0AAgAAAAkxOC42MDc0MTkBBwAAAAUAAAABMQEAAAAKMTkwMDI3Mjc5NgMAAAABMAIAAAAGMTAwMDMwBAAAAAEwBwAAAAk5LzE4LzIwMTgIAAAACTkvMTgvMjAxOOcQwSddQNcIt6P+J11A1wgtQ0lRLlRTRTo3OTc0LklRX0NBUEVYLklRX0xUTS4yMDE5LTA5LTIzLi4uVVNEAQAAAKRdDQADAAAAAACnmcon</t>
  </si>
  <si>
    <t>XUDXCHFoAyhdQNcINUNJUS5UU0U6MzY1OS5JUV9DQVNIX0lOVEVSRVNULklRX0xUTS4yMDE5LTA5LTIzLi4uVVNEAQAAAJ4fgggCAAAACDEuMzgyMzgyAQgAAAAFAAAAATEBAAAACjE5NzU3OTI0MzcDAAAAAzE2MAIAAAAEMzAyOAQAAAABMAcAAAAJOS8yMy8yMDE5CAAAAAk2LzMwLzIwMTkJAAAAATCnmconXUDXCLej/iddQNcIN0NJUS5OQVNEQVFHUzpBVFZJLklRX1RPVEFMX0RFQlQuSVFfTFRNLjIwMTktMDktMjMuLi5VU0QBAAAAF21AAAIAAAAEMjk2MgEIAAAABQAAAAExAQAAAAoxOTc1MDM5MDUyAwAAAAMxNjACAAAABDQxNzMEAAAAATAHAAAACTkvMjMvMjAxOQgAAAAJNi8zMC8yMDE5CQAAAAEwp5nKJ11A1wgDBgEoXUDXCCxDSVEuVFNFOjc5NzQuSVFfVEVWX0VCSVREQS5JUV9MVE0uMjAxOS0wMS0wMQEAAACkXQ0AAgAAAAgxMi41NjEwOQEHAAAABQAAAAExAQAAAAoxOTIxNTE4NDIzAwAAAAEwAgAAAAYxMDAwMzAEAAAAATAHAAAACjEyLzI4LzIwMTgIAAAACjEyLzI4LzIwMTjnEMEnXUDXCHFoAyhdQNcIMUNJUS5UU0U6MzY1OS5JUV9UT1RBTF9SRVYuSVFfTFRNLjIwMTktMDktMjMuLi5VU0QBAAAAnh+CCAIAAAALMjQzNC4wNTg1OTIBCAAAAAUAAAABMQEAAAAKMTk3NTc5MjQzNwMAAAADMTYwAgAAAAIyOAQAAAABMAcAAAAJOS8yMy8yMDE5CAAAAAk2LzMwLzIwMTkJAAAAATDnEMEnXUDX</t>
  </si>
  <si>
    <t>CGtB/CddQNcIIUNJUS5JUVRSMzE0MjIwMDU5LklRX0NPTVBBTllfTkFNRQEAAAAZdg0AAwAAABhVYmlzb2Z0IEVudGVydGFpbm1lbnQgU0EA5xDBJ11A1wgDBgEoXUDXCDtDSVEuTkFTREFRR1M6QVRWSS5JUV9ESUxVVF9FUFNfRVhDTC5JUV9MVE0uMjAxOS0wOS0yMy4uLlVTRAEAAAAXbUAAAgAAAAgyLjE5MDIwNwEIAAAABQAAAAExAQAAAAoxOTc1MDM5MDUyAwAAAAMxNjACAAAAAzE0MgQAAAABMAcAAAAJOS8yMy8yMDE5CAAAAAk2LzMwLzIwMTkJAAAAATDnEMEnXUDXCGtB/CddQNcILkNJUS5LT1NFOkEyNTEyNzAuSVFfVEVWLjQ0NTYxLjIwMTktMDktMjMuLi5VU0QBAAAAWe4vCQIAAAALNTIyOC42MjI5NjkBBgAAAAUAAAABMQEAAAAKMTk4MTE1NjU0MAMAAAADMTYwAgAAAAYxMDAwNjAEAAAAATAHAAAACTkvMjMvMjAxOecQwSddQNcIcWgDKF1A1wg8Q0lRLk5BU0RBUUdTOkVBLklRX1RPVEFMX0RFQlRfRVFVSVRZLklRX0xUTS4yMDE5LTA5LTIzLi4uVVNEAQAAADttAAACAAAABzE5LjA0MzkBCAAAAAUAAAABMQEAAAAKMTk3NDIzNTgxMgMAAAADMTYwAgAAAAQ0MDM0BAAAAAEwBwAAAAk5LzIzLzIwMTkIAAAACTYvMzAvMjAxOQkAAAABMKeZyiddQNcIAwYBKF1A1wgsQ0lRLlRTRTo3OTc0LklRX1RFVl9FQklUREEuSVFfTFRNLjIwMTUtMDYtMjMBAAAApF0NAAIAAAAJNDYuMzE5MjQxAQcAAAAF</t>
  </si>
  <si>
    <t>AAAAATEBAAAACjE3MzI2NjA2NjIDAAAAATACAAAABjEwMDAzMAQAAAABMAcAAAAJNi8yMy8yMDE1CAAAAAk2LzIzLzIwMTXnEMEnXUDXCHFoAyhdQNcIM0NJUS5OQVNEQVFHUzpUVFdPLklRX0VCSVREQS5JUV9MVE0uMjAxOS0wOS0yMy4uLlVTRAEAAABRqgUAAgAAAAYyNTQuOTYBCAAAAAUAAAABMQEAAAAKMTk3NDMwNDA2NgMAAAADMTYwAgAAAAQ0MDUxBAAAAAEwBwAAAAk5LzIzLzIwMTkIAAAACTYvMzAvMjAxOQkAAAABMOcQwSddQNcIcWgDKF1A1wg3Q0lRLktPU0U6QTI1MTI3MC5JUV9SRVZFTlVFX0VTVC5DWTIwMTkuMjAxOS0wOS0yMy4uLlVTRAEAAABZ7i8JAgAAABAxOTAwLjQ0NjQ4NjQ5OTYyAQ4AAAAFAAAAAjExAQAAAAEwAgAAAAoxMDAzNjYzMTA5AwAAAAYxMDAxODAEAAAAATMGAAAAATAHAAAAAzE2MAgAAAABMAkAAAABMQoAAAABMAsAAAALMTE2MTA4MzUzOTcMAAAAATcNAAAACTkvMjQvMjAxORAAAAAJOS8yMy8yMDE55xDBJ11A1wgDBgEoXUDXCClDSVEuVFNFOjc5NzQuSVFfQ0xPU0VQUklDRS4yMDE1LTA5LTA4LlVTRAEAAACkXQ0AAgAAAAoxODYuNzg5NzczAOcQwSddQNcIa0H8J11A1wgpQ0lRLlRTRTo3OTc0LklRX0NMT1NFUFJJQ0UuMjAxNi0wMy0wMS5VU0QBAAAApF0NAAIAAAAKMTM1LjM5MTkyNADnEMEnXUDXCHFoAyhdQNcIKUNJUS5UU0U6Nzk3NC5JUV9DTE9TRVBSSUNF</t>
  </si>
  <si>
    <t>LjIwMTUtMTItMjIuVVNEAQAAAKRdDQACAAAACjEzNC40OTEzMjIA5xDBJ11A1wgDBgEoXUDXCDhDSVEuTkFTREFRR1M6VFRXTy5JUV9SRVZFTlVFX0VTVC5DWTIwMjEuMjAxOS0wOS0yMy4uLlVTRAEAAABRqgUAAgAAAAkzMzE3LjE2MjcBDgAAAAUAAAACMTEBAAAAATACAAAABzEyNDM0MjIDAAAABjEwMDE4MAQAAAABMgYAAAABMAcAAAADMTYwCAAAAAEwCQAAAAExCgAAAAEwCwAAAAsxMTYwNzA3MjI5MwwAAAABNw0AAAAJOS8yNC8yMDE5EAAAAAk5LzIzLzIwMTnnEMEnXUDXCLej/iddQNcILENJUS5FTlhUUEE6VUJJLklRX1RFVi40NDU2MS4yMDE5LTA5LTIzLi4uVVNEAQAAABl2DQACAAAACzg3NjkuNjU5MTA4AQYAAAAFAAAAATEBAAAACjE5Njg0NjI4NjkDAAAAAzE2MAIAAAAGMTAwMDYwBAAAAAEwBwAAAAk5LzIzLzIwMTnnEMEnXUDXCAMGAShdQNcILkNJUS5LT1NFOkEyNTEyNzAuSVFfR1AuQ1kyMDE1LjIwMTktMDktMjMuLi5VU0QBAAAAWe4vCQIAAAAKNDExLjYxOTc4MgEIAAAABQAAAAExAQAAAAoxODMzMDU5MDUyAwAAAAMxNjACAAAAAjEwBAAAAAEwBwAAAAk5LzIzLzIwMTkIAAAACjEyLzMxLzIwMTUJAAAAATDnEMEnXUDXCGtB/CddQNcIKUNJUS5UU0U6Nzk3NC5JUV9DTE9TRVBSSUNFLjIwMTUtMDctMTQuVVNEAQAAAKRdDQACAAAACTE1OS45NjU5NQDnEMEnXUDXCGtB/CddQNcILENJ</t>
  </si>
  <si>
    <t>US5UU0U6Nzk3NC5JUV9URVZfRUJJVERBLklRX0xUTS4yMDE3LTA3LTI1AQAAAKRdDQACAAAACTU2LjgwMjgyMwEHAAAABQAAAAExAQAAAAoxODQ5MDMzMTM4AwAAAAEwAgAAAAYxMDAwMzAEAAAAATAHAAAACTcvMjUvMjAxNwgAAAAJNy8yNS8yMDE35xDBJ11A1wi3o/4nXUDXCDNDSVEuTkFTREFRR1M6QVRWSS5JUV9FQklUREEuQ1kyMDE2LjIwMTktMDktMjMuLi5VU0QBAAAAF21AAAIAAAAEMjI4OAEIAAAABQAAAAExAQAAAAoxOTQ3ODI4NzU0AwAAAAMxNjACAAAABDQwNTEEAAAAATAHAAAACTkvMjMvMjAxOQgAAAAKMTIvMzEvMjAxNgkAAAABMOcQwSddQNcIt6P+J11A1wg1Q0lRLktPU0U6QTI1MTI3MC5JUV9UT1RBTF9SRVYuQ1kyMDE4LjIwMTktMDktMjMuLi5VU0QBAAAAWe4vCQIAAAALMTgxNS42NTA3MzgBCAAAAAUAAAABMQEAAAAKMTk1MDkzNjUzOAMAAAADMTYwAgAAAAIyOAQAAAABMAcAAAAJOS8yMy8yMDE5CAAAAAoxMi8zMS8yMDE4CQAAAAEw5xDBJ11A1wi3o/4nXUDXCClDSVEuVFNFOjc5NzQuSVFfQ0xPU0VQUklDRS4yMDE2LTExLTE1LlVTRAEAAACkXQ0AAgAAAAoyMjguMzY2NzE5AOcQwSddQNcIt6P+J11A1wgpQ0lRLlRTRTo3OTc0LklRX0NMT1NFUFJJQ0UuMjAxNy0wNy0yNS5VU0QBAAAApF0NAAIAAAAKMzE2LjI3OTkxNgDnEMEnXUDXCLej/iddQNcIOkNJUS5OQVNEQVFHUzpF</t>
  </si>
  <si>
    <t>QS5JUV9FRkZFQ1RfVEFYX1JBVEUuSVFfTFRNLjIwMTktMDktMjMuLi5VU0QBAAAAO20AAAMAAAACTk0BCAAAAAUAAAABMQEAAAAKMTk3NDIzNTgxMgMAAAADMTYwAgAAAAQ0Mzc2BAAAAAEwBwAAAAk5LzIzLzIwMTkIAAAACTYvMzAvMjAxOQkAAAABMKeZyiddQNcIcWgDKF1A1wgpQ0lRLlRTRTo3OTc0LklRX0NMT1NFUFJJQ0UuMjAxNi0wNS0zMS5VU0QBAAAApF0NAAIAAAAKMTQ4LjI3MTY2NADnEMEnXUDXCLej/iddQNcILENJUS5UU0U6Nzk3NC5JUV9URVZfRUJJVERBLklRX0xUTS4yMDE1LTA4LTE4AQAAAKRdDQACAAAACTQ3LjMyNDkzMwEHAAAABQAAAAExAQAAAAoxNzQ5ODU3MDk3AwAAAAEwAgAAAAYxMDAwMzAEAAAAATAHAAAACTgvMTgvMjAxNQgAAAAJOC8xOC8yMDE15xDBJ11A1whiygUoXUDXCC5DSVEuVFNFOjc5NzQuSVFfRUJJVERBLkNZMjAxNy4yMDE5LTA5LTIzLi4uVVNEAQAAAKRdDQACAAAACzE0ODUuMjk1NDIyAQgAAAAFAAAAATEBAAAACjE4NzQxOTMzNDADAAAAAzE2MAIAAAAENDA1MQQAAAABMAcAAAAJOS8yMy8yMDE5CAAAAAoxMi8zMS8yMDE3CQAAAAEwp5nKJ11A1whiygUoXUDXCD1DSVEuS09TRTpBMjUxMjcwLklRX1RPVEFMX0RFQlRfRVFVSVRZLklRX0xUTS4yMDE5LTA5LTIzLi4uVVNEAQAAAFnuLwkCAAAABjQuODM1OQEIAAAABQAAAAExAQAAAAoxOTgxMTcwMDUyAwAA</t>
  </si>
  <si>
    <t>AAI4NQIAAAAENDAzNAQAAAABMAcAAAAJOS8yMy8yMDE5CAAAAAk2LzMwLzIwMTkJAAAAATCnmconXUDXCLej/iddQNcIKUNJUS5UU0U6Nzk3NC5JUV9DTE9TRVBSSUNFLjIwMTUtMTAtMTMuVVNEAQAAAKRdDQACAAAACjE4NC4wMTUwMTYA5xDBJ11A1whxaAMoXUDXCClDSVEuVFNFOjc5NzQuSVFfQ0xPU0VQUklDRS4yMDE1LTEyLTI5LlVTRAEAAACkXQ0AAgAAAAoxNDAuNjc0OTMzAOcQwSddQNcIa0H8J11A1wgsQ0lRLlRTRTo3OTc0LklRX1RFVl9FQklUREEuSVFfTFRNLjIwMTgtMDUtMTUBAAAApF0NAAIAAAAJMjMuMDY0NTg1AQcAAAAFAAAAATEBAAAACjE4ODQ4NjQ5NjQDAAAAATACAAAABjEwMDAzMAQAAAABMAcAAAAJNS8xNS8yMDE4CAAAAAk1LzE1LzIwMTjnEMEnXUDXCGtB/CddQNcINkNJUS5OQVNEQVFHUzpUVFdPLklRX1RPVEFMX1JFVi5DWTIwMTguMjAxOS0wOS0yMy4uLlVTRAEAAABRqgUAAgAAAAgyNTc5LjY2MQEIAAAABQAAAAExAQAAAAoxOTQzOTI1MjM2AwAAAAMxNjACAAAAAjI4BAAAAAEwBwAAAAk5LzIzLzIwMTkIAAAACjEyLzMxLzIwMTgJAAAAATDnEMEnXUDXCHFoAyhdQNcIMkNJUS5UU0U6MzY1OS5JUV9FQklUREFfRVNULkNZMjAyMi4yMDE5LTA5LTIzLi4uVVNEAQAAAJ4fgggCAAAADjExOTUuNTkxMzAxNDAxAQ4AAAAFAAAAAjExAQAAAAEwAgAAAAoxMDAxNjQ5NDYzAwAA</t>
  </si>
  <si>
    <t>AAYxMDAxODcEAAAAATMGAAAAATAHAAAAAzE2MAgAAAABMAkAAAABMQoAAAABMAsAAAALMTE1OTY5NzI3MjcMAAAAATcNAAAACTkvMjQvMjAxORAAAAAJOS8yMy8yMDE55xDBJ11A1wgDBgEoXUDXCCxDSVEuVFNFOjc5NzQuSVFfVEVWX0VCSVREQS5JUV9MVE0uMjAxNS0wOS0xNQEAAACkXQ0AAgAAAAk0MS41MzI0MzgBBwAAAAUAAAABMQEAAAAKMTc0OTg1NzA5NwMAAAABMAIAAAAGMTAwMDMwBAAAAAEwBwAAAAk5LzE1LzIwMTUIAAAACTkvMTUvMjAxNecQwSddQNcIYsoFKF1A1wgzQ0lRLlRTRTozNjU5LklRX1JFVkVOVUVfRVNULkNZMjAxOS4yMDE5LTA5LTIzLi4uVVNEAQAAAJ4fgggCAAAAEDIzODQuNjQzNjg1NjM5MDIBDgAAAAUAAAACMTEBAAAAATACAAAACjEwMDE0MjI4MjEDAAAABjEwMDE4MAQAAAABMwYAAAABMAcAAAADMTYwCAAAAAEwCQAAAAExCgAAAAEwCwAAAAsxMTYwMzQ0NzI4NwwAAAABNw0AAAAJOS8yNC8yMDE5EAAAAAk5LzIzLzIwMTnnEMEnXUDXCLej/iddQNcIKUNJUS5UU0U6Nzk3NC5JUV9DTE9TRVBSSUNFLjIwMTYtMDgtMDIuVVNEAQAAAKRdDQACAAAACjIwOC4wNDIzODQA5xDBJ11A1wgDBgEoXUDXCCxDSVEuVFNFOjc5NzQuSVFfVEVWX0VCSVREQS5JUV9MVE0uMjAxOS0wMi0yNgEAAACkXQ0AAgAAAAkxMC40OTI0ODYBBwAAAAUAAAABMQEAAAAKMTk0NDU5NzY1OAMAAAAB</t>
  </si>
  <si>
    <t>MAIAAAAGMTAwMDMwBAAAAAEwBwAAAAkyLzI2LzIwMTkIAAAACTIvMjYvMjAxOecQwSddQNcIcWgDKF1A1wgsQ0lRLlRTRTo3OTc0LklRX1RFVl9FQklUREEuSVFfTFRNLjIwMTYtMDYtMjEBAAAApF0NAAIAAAAJMjAuNTc3OTIzAQcAAAAFAAAAATEBAAAACjE3ODc5MjU4NzYDAAAAATACAAAABjEwMDAzMAQAAAABMAcAAAAJNi8yMS8yMDE2CAAAAAk2LzIxLzIwMTbnEMEnXUDXCGLKBShdQNcIKUNJUS5UU0U6Nzk3NC5JUV9DTE9TRVBSSUNFLjIwMTYtMDktMTMuVVNEAQAAAKRdDQACAAAACjI1MC44MTk3NTUA5xDBJ11A1whxaAMoXUDXCClDSVEuVFNFOjc5NzQuSVFfQ0xPU0VQUklDRS4yMDE5LTAxLTE1LlVTRAEAAACkXQ0AAgAAAAoyOTIuMTE5MzI2AOcQwSddQNcIAwYBKF1A1wgzQ0lRLkVOWFRQQTpVQkkuSVFfVE9UQUxfUkVWLklRX0xUTS4yMDE5LTA5LTIzLi4uVVNEAQAAABl2DQACAAAACjIwNzEuMjkyOTMBCAAAAAUAAAABMQEAAAAKMTk2ODQ2Mjg3MQMAAAADMTYwAgAAAAIyOAQAAAABMAcAAAAJOS8yMy8yMDE5CAAAAAkzLzMxLzIwMTkJAAAAATDnEMEnXUDXCLej/iddQNcIOUNJUS5OQVNEQVFHUzpFQS5JUV9ESUxVVF9FUFNfRVhDTC5JUV9MVE0uMjAxOS0wOS0yMy4uLlVTRAEAAAA7bQAAAgAAAAg3LjA3MjQ4MQEIAAAABQAAAAExAQAAAAoxOTc0MjM1ODEyAwAAAAMxNjACAAAAAzE0MgQA</t>
  </si>
  <si>
    <t>AAABMAcAAAAJOS8yMy8yMDE5CAAAAAk2LzMwLzIwMTkJAAAAATDnEMEnXUDXCHFoAyhdQNcILUNJUS5UU0U6Nzk3NC5JUV9DQVBFWC5DWTIwMTguMjAxOS0wOS0yMy4uLlVTRAEAAACkXQ0AAwAAAAAAp5nKJ11A1whiygUoXUDXCDBDSVEuTkFTREFRR1M6RUEuSVFfQ1VTVE9NX0JFVEEuLjIwMTktMDktMjMuLi5VU0QBAAAAO20AAAIAAAAQMS4yNTU1ODQ2MTMyODAzNwCnmconXUDXCLej/iddQNcILENJUS5UU0U6Nzk3NC5JUV9URVZfRUJJVERBLklRX0xUTS4yMDE1LTA3LTIxAQAAAKRdDQACAAAACTUwLjI3Mjk1NQEHAAAABQAAAAExAQAAAAoxNzQ1OTIyNzcyAwAAAAEwAgAAAAYxMDAwMzAEAAAAATAHAAAACTcvMjEvMjAxNQgAAAAJNy8yMS8yMDE15xDBJ11A1whiygUoXUDXCCxDSVEuVFNFOjc5NzQuSVFfVEVWX0VCSVREQS5JUV9MVE0uMjAxNi0wNy0xOQEAAACkXQ0AAgAAAAk2Ni4yMTMxNDcBBwAAAAUAAAABMQEAAAAKMTc5OTI0OTA1NwMAAAABMAIAAAAGMTAwMDMwBAAAAAEwBwAAAAk3LzE5LzIwMTYIAAAACTcvMTkvMjAxNucQwSddQNcIYsoFKF1A1wgsQ0lRLkVOWFRQQTpVQkkuSVFfVEVWLjQzNDY1LjIwMTktMDktMjMuLi5VU0QBAAAAGXYNAAIAAAALOTI1OS4xOTcyOTYBBgAAAAUAAAABMQEAAAAKMTkyMTExNDUzNgMAAAADMTYwAgAAAAYxMDAwNjAEAAAAATAHAAAACjEyLzMxLzIwMTjn</t>
  </si>
  <si>
    <t>EMEnXUDXCGtB/CddQNcIKkNJUS5UU0U6OTY4NC5JUV9URVYuNDMxMDAuMjAxOS0wOS0yMy4uLlVTRAEAAACpfQ0AAgAAAAs0NTQ1Ljk5MzIwMQEGAAAABQAAAAExAQAAAAoxODY2MjM1ODkzAwAAAAMxNjACAAAABjEwMDA2MAQAAAABMAcAAAAKMTIvMzEvMjAxN+cQwSddQNcIt6P+J11A1wgpQ0lRLlRTRTo3OTc0LklRX0NMT1NFUFJJQ0UuMjAxNy0wMy0yOC5VU0QBAAAApF0NAAIAAAAKMjQxLjI5MTg0NQDnEMEnXUDXCHFoAyhdQNcILUNJUS5OQVNEQVFHUzpFQS5JUV9HUC5DWTIwMTUuMjAxOS0wOS0yMy4uLlVTRAEAAAA7bQAAAgAAAAQyOTExAQgAAAAFAAAAATEBAAAACjE4MjY2NjUyODADAAAAAzE2MAIAAAACMTAEAAAAATAHAAAACTkvMjMvMjAxOQgAAAAKMTIvMzEvMjAxNQkAAAABMOcQwSddQNcIt6P+J11A1wgsQ0lRLlRTRTo3OTc0LklRX1RFVl9FQklUREEuSVFfTFRNLjIwMTgtMDUtMDEBAAAApF0NAAIAAAAJMjMuMTYyMTc4AQcAAAAFAAAAATEBAAAACjE4ODQ4NjQ5NjQDAAAAATACAAAABjEwMDAzMAQAAAABMAcAAAAINS8xLzIwMTgIAAAACDUvMS8yMDE45xDBJ11A1wi3o/4nXUDXCCpDSVEuVFNFOjM2NTkuSVFfVEVWLjQ0MTk2LjIwMTktMDktMjMuLi5VU0QBAAAAnh+CCAIAAAALNzAxMS4zMDQwMDYBBgAAAAUAAAABMQEAAAAKMTk3NTc4NjYyMgMAAAADMTYwAgAAAAYxMDAwNjAEAAAA</t>
  </si>
  <si>
    <t>ATAHAAAACTkvMjAvMjAxOecQwSddQNcIt6P+J11A1wgpQ0lRLlRTRTo3OTc0LklRX0NMT1NFUFJJQ0UuMjAxNi0xMS0yMi5VU0QBAAAApF0NAAIAAAAKMjUwLjY3NDk0NADnEMEnXUDXCAMGAShdQNcILENJUS5UU0U6Nzk3NC5JUV9URVZfRUJJVERBLklRX0xUTS4yMDE5LTAzLTI2AQAAAKRdDQACAAAACTExLjAzNTY3MQEHAAAABQAAAAExAQAAAAoxOTQ0NTk3NjU4AwAAAAEwAgAAAAYxMDAwMzAEAAAAATAHAAAACTMvMjYvMjAxOQgAAAAJMy8yNi8yMDE55xDBJ11A1whiygUoXUDXCClDSVEuVFNFOjc5NzQuSVFfQ0xPU0VQUklDRS4yMDE3LTA1LTAyLlVTRAEAAACkXQ0AAgAAAAoyNTIuOTQzODExAOcQwSddQNcIt6P+J11A1wgsQ0lRLlRTRTo3OTc0LklRX1RFVl9FQklUREEuSVFfTFRNLjIwMTctMTAtMDMBAAAApF0NAAIAAAAJNDkuMjkxMzAxAQcAAAAFAAAAATEBAAAACjE4NTQwNDM4ODgDAAAAATACAAAABjEwMDAzMAQAAAABMAcAAAAJMTAvMy8yMDE3CAAAAAkxMC8zLzIwMTfnEMEnXUDXCGtB/CddQNcIK0NJUS5FTlhUUEE6VUJJLklRX0NMT1NFUFJJQ0UuMjAxOS0wOS0yMy5VU0QBAAAAGXYNAAIAAAAJNzYuMDA2MTU4AOcQwSddQNcIa0H8J11A1wgwQ0lRLlRTRTo3OTc0LklRX0RBX1NVUFBMLkNZMjAxNi4yMDE5LTA5LTIzLi4uVVNEAQAAAKRdDQACAAAACTUyLjU2NTMwNwEIAAAABQAAAAEx</t>
  </si>
  <si>
    <t>AQAAAAoxODI3NzY3Nzk3AwAAAAMxNjACAAAAAjQxBAAAAAEwBwAAAAk5LzIzLzIwMTkIAAAACjEyLzMxLzIwMTYJAAAAATCnmconXUDXCGLKBShdQNcIL0NJUS5OQVNEQVFHUzpUVFdPLklRX0dQLkNZMjAxOC4yMDE5LTA5LTIzLi4uVVNEAQAAAFGqBQACAAAACDExMzMuMjQ2AQgAAAAFAAAAATEBAAAACjE5NDM5MjUyMzYDAAAAAzE2MAIAAAACMTAEAAAAATAHAAAACTkvMjMvMjAxOQgAAAAKMTIvMzEvMjAxOAkAAAABMOcQwSddQNcIYsoFKF1A1wg2Q0lRLktPU0U6QTI1MTI3MC5JUV9FQklUREFfRVNULkNZMjAyMS4yMDE5LTA5LTIzLi4uVVNEAQAAAFnuLwkCAAAADzQyOC43MzM1MDg5NTYyMQEOAAAABQAAAAIxMQEAAAABMAIAAAAKMTAwMzczODI5MAMAAAAGMTAwMTg3BAAAAAEzBgAAAAEwBwAAAAMxNjAIAAAAATAJAAAAATEKAAAAATALAAAACzExNjEwODE2NjYwDAAAAAE3DQAAAAk5LzI0LzIwMTkQAAAACTkvMjMvMjAxOecQwSddQNcIAwYBKF1A1wgwQ0lRLk5BU0RBUUdTOlRUV08uSVFfQ09NUEFOWV9OQU1FLjIwMTktMDktMjMuVVNEAQAAAFGqBQADAAAAI1Rha2UtVHdvIEludGVyYWN0aXZlIFNvZnR3YXJlLCBJbmMuAOcQwSddQNcIAwYBKF1A1wgxQ0lRLlRTRTozNjU5LklRX1RPVEFMX1JFVi5DWTIwMTYuMjAxOS0wOS0yMy4uLlVTRAEAAACeH4IIAgAAAAoxNTY4LjU0ODA5AQgAAAAFAAAA</t>
  </si>
  <si>
    <t>ATEBAAAACjE4MzUwNDI5MDcDAAAAAzE2MAIAAAACMjgEAAAAATAHAAAACTkvMjMvMjAxOQgAAAAKMTIvMzEvMjAxNgkAAAABMOcQwSddQNcIYsoFKF1A1wgsQ0lRLlRTRTo3OTc0LklRX1RFVl9FQklUREEuSVFfTFRNLjIwMTgtMDUtMjIBAAAApF0NAAIAAAAIMjIuMDMzNzUBBwAAAAUAAAABMQEAAAAKMTg4NDg2NDk2NAMAAAABMAIAAAAGMTAwMDMwBAAAAAEwBwAAAAk1LzIyLzIwMTgIAAAACTUvMjIvMjAxOOcQwSddQNcIcWgDKF1A1wgpQ0lRLlRTRTo3OTc0LklRX0NMT1NFUFJJQ0UuMjAxNi0xMS0yOS5VU0QBAAAApF0NAAIAAAAKMjQ3Ljc4NjgyMQDnEMEnXUDXCGtB/CddQNcIJUNJUS5OQVNEQVFHUzpFQS5JUV9URVYuMjAxOS0wOS0yMy5VU0QBAAAAO20AAAIAAAAMMjQ5ODIuMzgxNDY2AQYAAAAFAAAAATEBAAAACjE5NzQyMzUzNDkDAAAAAzE2MAIAAAAGMTAwMDYwBAAAAAEwBwAAAAk5LzIzLzIwMTnnEMEnXUDXCHFoAyhdQNcILUNJUS5UU0U6Nzk3NC5JUV9DQVBFWC5DWTIwMTYuMjAxOS0wOS0yMy4uLlVTRAEAAACkXQ0AAwAAAAAAp5nKJ11A1whiygUoXUDXCCxDSVEuVFNFOjc5NzQuSVFfVEVWX0VCSVREQS5JUV9MVE0uMjAxOC0wMS0wOQEAAACkXQ0AAgAAAAk0Mi44MjAyMDQBBwAAAAUAAAABMQEAAAAKMTg2NTc5MjM2MwMAAAABMAIAAAAGMTAwMDMwBAAAAAEwBwAAAAgxLzkvMjAxOAgA</t>
  </si>
  <si>
    <t>AAAIMS85LzIwMTjnEMEnXUDXCLej/iddQNcIKUNJUS5UU0U6Nzk3NC5JUV9DTE9TRVBSSUNFLjIwMTgtMDctMTcuVVNEAQAAAKRdDQACAAAACjMzMS41NTk4MjYA5xDBJ11A1whxaAMoXUDXCClDSVEuVFNFOjc5NzQuSVFfQ0xPU0VQUklDRS4yMDE4LTAyLTI3LlVTRAEAAACkXQ0AAgAAAAk0NjAuMDQ5MzEA5xDBJ11A1whxaAMoXUDXCClDSVEuVFNFOjc5NzQuSVFfQ0xPU0VQUklDRS4yMDE3LTAxLTMxLlVTRAEAAACkXQ0AAgAAAAoyMDQuOTgyNzA2AOcQwSddQNcIcWgDKF1A1wgsQ0lRLlRTRTo3OTc0LklRX1RFVl9FQklUREEuSVFfTFRNLjIwMTgtMTEtMjcBAAAApF0NAAIAAAAJMTQuNDgzNTUyAQcAAAAFAAAAATEBAAAACjE5MjE1MTg0MjMDAAAAATACAAAABjEwMDAzMAQAAAABMAcAAAAKMTEvMjcvMjAxOAgAAAAKMTEvMjcvMjAxOOcQwSddQNcIa0H8J11A1wgwQ0lRLlRTRTo3OTc0LklRX0RBX1NVUFBMLkNZMjAxOC4yMDE5LTA5LTIzLi4uVVNEAQAAAKRdDQACAAAACTQ2LjkwMzM0MQEIAAAABQAAAAExAQAAAAoxOTQ0NTk3NjU4AwAAAAMxNjACAAAAAjQxBAAAAAEwBwAAAAk5LzIzLzIwMTkIAAAACjEyLzMxLzIwMTgJAAAAATCnmconXUDXCGLKBShdQNcIKkNJUS5UU0U6Nzk3NC5JUV9URVYuNDIzNjkuMjAxOS0wOS0yMy4uLlVTRAEAAACkXQ0AAgAAAAs5NDI3LjUyMjU1MgEGAAAABQAAAAEx</t>
  </si>
  <si>
    <t>AQAAAAoxNzY1MTQ2OTQxAwAAAAMxNjACAAAABjEwMDA2MAQAAAABMAcAAAAKMTIvMzEvMjAxNecQwSddQNcIYsoFKF1A1wgpQ0lRLlRTRTo3OTc0LklRX0NMT1NFUFJJQ0UuMjAxNi0wNS0xNy5VU0QBAAAApF0NAAIAAAAKMTQ2LjgyMTM4NwDnEMEnXUDXCGtB/CddQNcILENJUS5UU0U6Nzk3NC5JUV9URVZfRUJJVERBLklRX0xUTS4yMDE2LTAyLTAyAQAAAKRdDQACAAAACTI2LjM1NjEwOQEHAAAABQAAAAExAQAAAAoxNzc0MjgxNjI4AwAAAAEwAgAAAAYxMDAwMzAEAAAAATAHAAAACDIvMi8yMDE2CAAAAAgyLzIvMjAxNucQwSddQNcIcWgDKF1A1wgsQ0lRLlRTRTo3OTc0LklRX1RFVl9FQklUREEuSVFfTFRNLjIwMTctMTEtMjgBAAAApF0NAAIAAAAJNDcuNjA2NzE4AQcAAAAFAAAAATEBAAAACjE4NjU3OTIzNjMDAAAAATACAAAABjEwMDAzMAQAAAABMAcAAAAKMTEvMjgvMjAxNwgAAAAKMTEvMjgvMjAxN+cQwSddQNcIa0H8J11A1wgpQ0lRLlRTRTo3OTc0LklRX0NMT1NFUFJJQ0UuMjAxNi0wOC0xNi5VU0QBAAAApF0NAAIAAAAKMjE2LjUyODc2NQDnEMEnXUDXCHFoAyhdQNcIKUNJUS5UU0U6Nzk3NC5JUV9DTE9TRVBSSUNFLjIwMTYtMDYtMDcuVVNEAQAAAKRdDQACAAAACTE1MS4zNjk3NADnEMEnXUDXCAMGAShdQNcIOENJUS5OQVNEQVFHUzpUVFdPLklRX1JFVkVOVUVfRVNULkNZMjAyMi4yMDE5</t>
  </si>
  <si>
    <t>LTA5LTIzLi4uVVNEAQAAAFGqBQACAAAACTM3NjguNjc4NgEOAAAABQAAAAIxMQEAAAABMAIAAAAHMTMxNDc1MAMAAAAGMTAwMTgwBAAAAAEyBgAAAAEwBwAAAAMxNjAIAAAAATAJAAAAATEKAAAAATALAAAACzExNjExMjk2NTYxDAAAAAE3DQAAAAk5LzI0LzIwMTkQAAAACTkvMjMvMjAxOecQwSddQNcIt6P+J11A1wguQ0lRLlRTRTozNjU5LklRX0VCSVREQS5DWTIwMTcuMjAxOS0wOS0yMy4uLlVTRAEAAACeH4IIAgAAAAo5NjMuNzY3OTIyAQgAAAAFAAAAATEBAAAACjE4ODE0Mzg3MTQDAAAAAzE2MAIAAAAENDA1MQQAAAABMAcAAAAJOS8yMy8yMDE5CAAAAAoxMi8zMS8yMDE3CQAAAAEw5xDBJ11A1whxaAMoXUDXCClDSVEuVFNFOjc5NzQuSVFfQ0xPU0VQUklDRS4yMDE5LTA5LTI0LlVTRAEAAACkXQ0AAgAAAAozOTYuODA1NTU5AKeZyiddQNcIAwYBKF1A1wgsQ0lRLlRTRTo3OTc0LklRX1RFVl9FQklUREEuSVFfTFRNLjIwMTYtMDUtMDMBAAAApF0NAAIAAAAJMjAuMTUzODU0AQcAAAAFAAAAATEBAAAACjE3ODc5MjU4NzYDAAAAATACAAAABjEwMDAzMAQAAAABMAcAAAAINS8yLzIwMTYIAAAACDUvMi8yMDE25xDBJ11A1wgDBgEoXUDXCClDSVEuVFNFOjc5NzQuSVFfQ0xPU0VQUklDRS4yMDE4LTA2LTI2LlVTRAEAAACkXQ0AAgAAAAkzMjguMTMyODMA5xDBJ11A1wi3o/4nXUDXCCxDSVEuVFNFOjc5</t>
  </si>
  <si>
    <t>NzQuSVFfVEVWX0VCSVREQS5JUV9MVE0uMjAxNS0wOS0yMgEAAACkXQ0AAgAAAAgzNy4yNzY0NQEHAAAABQAAAAExAQAAAAoxNzQ5ODU3MDk3AwAAAAEwAgAAAAYxMDAwMzAEAAAAATAHAAAACTkvMTgvMjAxNQgAAAAJOS8xOC8yMDE15xDBJ11A1wgDBgEoXUDXCCxDSVEuVFNFOjc5NzQuSVFfVEVWX0VCSVREQS5JUV9MVE0uMjAxNS0wOC0yNQEAAACkXQ0AAgAAAAk0MC43OTgxNzgBBwAAAAUAAAABMQEAAAAKMTc0OTg1NzA5NwMAAAABMAIAAAAGMTAwMDMwBAAAAAEwBwAAAAk4LzI1LzIwMTUIAAAACTgvMjUvMjAxNecQwSddQNcIAwYBKF1A1wgpQ0lRLlRTRTo3OTc0LklRX0NMT1NFUFJJQ0UuMjAxNi0xMC0yNS5VU0QBAAAApF0NAAIAAAAKMjM2LjQ4MDMyNQDnEMEnXUDXCAMGAShdQNcIKUNJUS5UU0U6Nzk3NC5JUV9DTE9TRVBSSUNFLjIwMTYtMDQtMjYuVVNEAQAAAKRdDQACAAAACjE0OS44MDQ0ODUA5xDBJ11A1whxaAMoXUDXCClDSVEuVFNFOjc5NzQuSVFfQ0xPU0VQUklDRS4yMDE2LTA3LTEyLlVTRAEAAACkXQ0AAgAAAAoyMTguMTQ3MDc4AOcQwSddQNcIa0H8J11A1wgpQ0lRLlRTRTo3OTc0LklRX0NMT1NFUFJJQ0UuMjAxNS0xMC0yNy5VU0QBAAAApF0NAAIAAAAKMTkzLjEzNDEwNgDnEMEnXUDXCAMGAShdQNcIMUNJUS5UU0U6OTY4NC5JUV9UT1RBTF9SRVYuQ1kyMDE4LjIwMTktMDktMjMu</t>
  </si>
  <si>
    <t>Li5VU0QBAAAAqX0NAAIAAAALMjIwMC4wMDkxMTYBCAAAAAUAAAABMQEAAAAKMTk0NDM4ODIyNAMAAAADMTYwAgAAAAIyOAQAAAABMAcAAAAJOS8yMy8yMDE5CAAAAAoxMi8zMS8yMDE4CQAAAAEw5xDBJ11A1wgDBgEoXUDXCC5DSVEuS09TRTpBMjUxMjcwLklRX1RFVi40MzEwMC4yMDE5LTA5LTIzLi4uVVNEAQAAAFnuLwkCAAAADDEyODA5LjY2NDA1OQEGAAAABQAAAAExAQAAAAoxODY3MzM0MzgxAwAAAAMxNjACAAAABjEwMDA2MAQAAAABMAcAAAAKMTIvMzEvMjAxN+cQwSddQNcIa0H8J11A1wgpQ0lRLlRTRTo3OTc0LklRX0NMT1NFUFJJQ0UuMjAxOS0wNy0wMi5VU0QBAAAApF0NAAIAAAAKMzcxLjUxMTg3NgCnmconXUDXCAMGAShdQNcINENJUS5FTlhUUEE6VUJJLklRX0VCSVREQV9FU1QuQ1kyMDIwLjIwMTktMDktMjMuLi5VU0QBAAAAGXYNAAIAAAANNjc0LjA3MDgxNTg1MQEOAAAABQAAAAIxMQEAAAABMAIAAAAINDc1MTQ3MTcDAAAABjEwMDE4NwQAAAABMwYAAAABMAcAAAADMTYwCAAAAAEwCQAAAAExCgAAAAEwCwAAAAsxMTU5OTI1OTM1MQwAAAABNw0AAAAJOS8yNC8yMDE5EAAAAAk5LzIzLzIwMTnnEMEnXUDXCLej/iddQNcINENJUS5OQVNEQVFHUzpFQS5JUV9UT1RBTF9SRVYuQ1kyMDE2LjIwMTktMDktMjMuLi5VU0QBAAAAO20AAAIAAAAENDYyNgEIAAAABQAAAAExAQAAAAoxODczMjY3</t>
  </si>
  <si>
    <t>NDAwAwAAAAMxNjACAAAAAjI4BAAAAAEwBwAAAAk5LzIzLzIwMTkIAAAACjEyLzMxLzIwMTYJAAAAATDnEMEnXUDXCLej/iddQNcIQkNJUS5UU0U6Nzk3NC5JUV9DSEFOR0VfTkVUX1dPUktJTkdfQ0FQSVRBTC5DWTIwMTguMjAxOS0wOS0yMy4uLlVTRAEAAACkXQ0AAgAAAAsxMzI1LjE0MjQxNQEIAAAABQAAAAExAQAAAAoxOTQ0NTk3NjU4AwAAAAMxNjACAAAABDQ0MjEEAAAAATAHAAAACTkvMjMvMjAxOQgAAAAKMTIvMzEvMjAxOAkAAAABMKeZyiddQNcIYsoFKF1A1wguQ0lRLlRTRTo3OTc0LklRX0VCSVREQS5JUV9MVE0uMjAxOS0wOS0yMy4uLlVTRAEAAACkXQ0AAgAAAAsyMzc3LjczMzQ5OQEIAAAABQAAAAExAQAAAAoxOTc1NzkyNDcwAwAAAAMxNjACAAAABDQwNTEEAAAAATAHAAAACTkvMjMvMjAxOQgAAAAJNi8zMC8yMDE5CQAAAAEwp5nKJ11A1whiygUoXUDXCCxDSVEuVFNFOjc5NzQuSVFfVEVWX0VCSVREQS5JUV9MVE0uMjAxOC0wNy0xMAEAAACkXQ0AAgAAAAkxNi42NjYwNzEBBwAAAAUAAAABMQEAAAAKMTg5NTE5MDMxMgMAAAABMAIAAAAGMTAwMDMwBAAAAAEwBwAAAAk3LzEwLzIwMTgIAAAACTcvMTAvMjAxOOcQwSddQNcIa0H8J11A1wg7Q0lRLkVOWFRQQTpVQkkuSVFfVE9UQUxfREVCVF9FUVVJVFkuSVFfTFRNLjIwMTktMDktMjMuLi5VU0QBAAAAGXYNAAIAAAAIMTQ2LjA0NzYBCAAA</t>
  </si>
  <si>
    <t>AAUAAAABMQEAAAAKMTk2ODQ2Mjg3MQMAAAACNTACAAAABDQwMzQEAAAAATAHAAAACTkvMjMvMjAxOQgAAAAJMy8zMS8yMDE5CQAAAAEwp5nKJ11A1whxaAMoXUDXCCxDSVEuVFNFOjc5NzQuSVFfVEVWX0VCSVREQS5JUV9MVE0uMjAxOS0wNC0xNgEAAACkXQ0AAgAAAAkxMi4yMTk5MDkBBwAAAAUAAAABMQEAAAAKMTk0NDU5NzY1OAMAAAABMAIAAAAGMTAwMDMwBAAAAAEwBwAAAAk0LzE2LzIwMTkIAAAACTQvMTYvMjAxOecQwSddQNcIa0H8J11A1wguQ0lRLktPU0U6QTI1MTI3MC5JUV9HUC5DWTIwMTYuMjAxOS0wOS0yMy4uLlVTRAEAAABZ7i8JAgAAAAsxMjQ1LjU5MDc1NwEIAAAABQAAAAExAQAAAAoxODgwMjYyMTMyAwAAAAMxNjACAAAAAjEwBAAAAAEwBwAAAAk5LzIzLzIwMTkIAAAACjEyLzMxLzIwMTYJAAAAATDnEMEnXUDXCGtB/CddQNcILENJUS5UU0U6Nzk3NC5JUV9URVZfRUJJVERBLklRX0xUTS4yMDE1LTEwLTEzAQAAAKRdDQACAAAACTM5Ljk2ODczNgEHAAAABQAAAAExAQAAAAoxNzQ5ODU3MDk3AwAAAAEwAgAAAAYxMDAwMzAEAAAAATAHAAAACjEwLzEzLzIwMTUIAAAACjEwLzEzLzIwMTXnEMEnXUDXCGLKBShdQNcIMUNJUS5UU0U6OTY4NC5JUV9UT1RBTF9SRVYuQ1kyMDE2LjIwMTktMDktMjMuLi5VU0QBAAAAqX0NAAIAAAALMjE1My41MzMwNjcBCAAAAAUAAAABMQEAAAAKMTgyNzUw</t>
  </si>
  <si>
    <t>ODIwNwMAAAADMTYwAgAAAAIyOAQAAAABMAcAAAAJOS8yMy8yMDE5CAAAAAoxMi8zMS8yMDE2CQAAAAEw5xDBJ11A1whrQfwnXUDXCC9DSVEuTkFTREFRR1M6QVRWSS5JUV9URVYuNDMxMDAuMjAxOS0wOS0yMy4uLlVTRAEAAAAXbUAAAgAAAAs0ODYwOC4yMTc0OQEGAAAABQAAAAExAQAAAAoxODYzODk2MTE2AwAAAAMxNjACAAAABjEwMDA2MAQAAAABMAcAAAAKMTIvMzEvMjAxN+cQwSddQNcIcWgDKF1A1wgpQ0lRLlRTRTo3OTc0LklRX0NMT1NFUFJJQ0UuMjAxNi0xMi0yMC5VU0QBAAAApF0NAAIAAAAKMjEwLjA2NTE3OQDnEMEnXUDXCAMGAShdQNcIPENJUS5OQVNEQVFHUzpBVFZJLklRX0VGRkVDVF9UQVhfUkFURS5JUV9MVE0uMjAxOS0wOS0yMy4uLlVTRAEAAAAXbUAAAgAAAAY4LjM3NDEBCAAAAAUAAAABMQEAAAAKMTk3NTAzOTA1MgMAAAADMTYwAgAAAAQ0Mzc2BAAAAAEwBwAAAAk5LzIzLzIwMTkIAAAACTYvMzAvMjAxOQkAAAABMKeZyiddQNcIt6P+J11A1wgpQ0lRLlRTRTo3OTc0LklRX0NMT1NFUFJJQ0UuMjAxNy0wMS0xMC5VU0QBAAAApF0NAAIAAAAKMjEwLjk3NzQwMgDnEMEnXUDXCLej/iddQNcILENJUS5UU0U6Nzk3NC5JUV9URVZfRUJJVERBLklRX0xUTS4yMDE2LTAzLTAxAQAAAKRdDQACAAAACTIxLjQ4MDY0NQEHAAAABQAAAAExAQAAAAoxNzc2NTg0MDQzAwAAAAEwAgAAAAYxMDAw</t>
  </si>
  <si>
    <t>MzAEAAAAATAHAAAACDMvMS8yMDE2CAAAAAgzLzEvMjAxNucQwSddQNcIYsoFKF1A1wgsQ0lRLlRTRTo3OTc0LklRX1RFVl9FQklUREEuSVFfTFRNLjIwMTYtMDQtMjYBAAAApF0NAAIAAAAJMjQuOTYzMTE5AQcAAAAFAAAAATEBAAAACjE3NzY1ODQwNDMDAAAAATACAAAABjEwMDAzMAQAAAABMAcAAAAJNC8yNi8yMDE2CAAAAAk0LzI2LzIwMTbnEMEnXUDXCGLKBShdQNcIKUNJUS5UU0U6Nzk3NC5JUV9DTE9TRVBSSUNFLjIwMTYtMTAtMTguVVNEAQAAAKRdDQACAAAACjI1Mi41Mjg2NDkA5xDBJ11A1wi3o/4nXUDXCClDSVEuVFNFOjc5NzQuSVFfQ0xPU0VQUklDRS4yMDE3LTAxLTAzLlVTRAEAAACkXQ0AAwAAAAAA5xDBJ11A1whxaAMoXUDXCDhDSVEuTkFTREFRR1M6RUEuSVFfQ0FTSF9JTlRFUkVTVC5JUV9MVE0uMjAxOS0wOS0yMy4uLlVTRAEAAAA7bQAAAgAAAAI0MgEIAAAABQAAAAExAQAAAAoxOTc0MjM1ODEyAwAAAAMxNjACAAAABDMwMjgEAAAAATAHAAAACTkvMjMvMjAxOQgAAAAJNi8zMC8yMDE5CQAAAAEwp5nKJ11A1whxaAMoXUDXCDVDSVEuTkFTREFRR1M6RUEuSVFfRUJJVERBX0VTVC5DWTIwMjEuMjAxOS0wOS0yMy4uLlVTRAEAAAA7bQAAAgAAAAkyMDgwLjE2NDEBDgAAAAUAAAACMTEBAAAAATACAAAACDUxMjA0ODkzAwAAAAYxMDAxODcEAAAAATIGAAAAATAHAAAAAzE2MAgAAAABMAkA</t>
  </si>
  <si>
    <t>AAABMQoAAAABMAsAAAALMTE1NDQwOTgxMzAMAAAAATcNAAAACTkvMjQvMjAxORAAAAAJOS8yMy8yMDE55xDBJ11A1whiygUoXUDXCC9DSVEuTkFTREFRR1M6VFRXTy5JUV9URVYuNDIzNjkuMjAxOS0wOS0yMy4uLlVTRAEAAABRqgUAAgAAAAsyMjYwLjE2NTkxNQEGAAAABQAAAAExAQAAAAoxNzYzMjUzMDA1AwAAAAMxNjACAAAABjEwMDA2MAQAAAABMAcAAAAKMTIvMzEvMjAxNecQwSddQNcIt6P+J11A1wg2Q0lRLk5BU0RBUUdTOkVBLklRX1JFVkVOVUVfRVNULkNZMjAyMS4yMDE5LTA5LTIzLi4uVVNEAQAAADttAAACAAAACTU4MjIuMzk0OQEOAAAABQAAAAIxMQEAAAABMAIAAAAINTEyMDQ4OTMDAAAABjEwMDE4MAQAAAABMgYAAAABMAcAAAADMTYwCAAAAAEwCQAAAAExCgAAAAEwCwAAAAsxMTU1NTAxMzEzNgwAAAABNw0AAAAJOS8yNC8yMDE5EAAAAAk5LzIzLzIwMTnnEMEnXUDXCGtB/CddQNcIKUNJUS5UU0U6Nzk3NC5JUV9DTE9TRVBSSUNFLjIwMTYtMDQtMTIuVVNEAQAAAKRdDQACAAAACjE1MC4zMjIyODEA5xDBJ11A1wgDBgEoXUDXCC1DSVEuTkFTREFRR1M6QVRWSS5JUV9NQVJLRVRDQVAuMjAxOS0wOS0yMy5VU0QBAAAAF21AAAIAAAAMNDE1NTcuNDY1NDI5AQYAAAAFAAAAATEBAAAACjE5NzUwMzg3OTkDAAAAAzE2MAIAAAAGMTAwMDU0BAAAAAEwBwAAAAk5LzIzLzIwMTnnEMEnXUDXCHFo</t>
  </si>
  <si>
    <t>AyhdQNcIKkNJUS5UU0U6OTY4NC5JUV9URVYuNDM4MzAuMjAxOS0wOS0yMy4uLlVTRAEAAACpfQ0AAgAAAAs0MTMwLjYwNjczNgEGAAAABQAAAAExAQAAAAoxOTc1Nzg2NjA5AwAAAAMxNjACAAAABjEwMDA2MAQAAAABMAcAAAAJOS8yMC8yMDE55xDBJ11A1wgDBgEoXUDXCDJDSVEuVFNFOjM2NTkuSVFfRUJJVERBX0VTVC5DWTIwMjEuMjAxOS0wOS0yMy4uLlVTRAEAAACeH4IIAgAAABAxMTU3LjUxOTM2MDU2MjIyAQ4AAAAFAAAAAjExAQAAAAEwAgAAAAoxMDAxNjQ4ODIyAwAAAAYxMDAxODcEAAAAATMGAAAAATAHAAAAAzE2MAgAAAABMAkAAAABMQoAAAABMAsAAAALMTE2MDM0NDc4MDQMAAAAATcNAAAACTkvMjQvMjAxORAAAAAJOS8yMy8yMDE55xDBJ11A1wi3o/4nXUDXCCxDSVEuVFNFOjc5NzQuSVFfVEVWX0VCSVREQS5JUV9MVE0uMjAxOC0xMC0xNgEAAACkXQ0AAgAAAAkxOC44ODQ0MjYBBwAAAAUAAAABMQEAAAAKMTkwMDI3Mjc5NgMAAAABMAIAAAAGMTAwMDMwBAAAAAEwBwAAAAoxMC8xNi8yMDE4CAAAAAoxMC8xNi8yMDE45xDBJ11A1wi3o/4nXUDXCDdDSVEuTkFTREFRR1M6QVRWSS5JUV9FQklUREFfRVNULkNZMjAyMi4yMDE5LTA5LTIzLi4uVVNEAQAAABdtQAACAAAABzMzNDQuMjYBDgAAAAUAAAACMTEBAAAAATACAAAACjEwMDEzOTkyMTUDAAAABjEwMDE4NwQAAAABMgYAAAABMAcAAAAD</t>
  </si>
  <si>
    <t>MTYwCAAAAAEwCQAAAAExCgAAAAEwCwAAAAsxMTU2MzM0OTkzNgwAAAABNw0AAAAJOS8yNC8yMDE5EAAAAAk5LzIzLzIwMTnnEMEnXUDXCLej/iddQNcINENJUS5FTlhUUEE6VUJJLklRX0VCSVREQV9FU1QuQ1kyMDIxLjIwMTktMDktMjMuLi5VU0QBAAAAGXYNAAIAAAAQMTIzMS40NDM5MTg5MzY3NAEOAAAABQAAAAIxMQEAAAABMAIAAAAINDc1MTQ3MTgDAAAABjEwMDE4NwQAAAABMwYAAAABMAcAAAADMTYwCAAAAAEwCQAAAAExCgAAAAEwCwAAAAsxMTYxMTcxMDIwNAwAAAABNw0AAAAJOS8yNC8yMDE5EAAAAAk5LzIzLzIwMTnnEMEnXUDXCAMGAShdQNcIKUNJUS5UU0U6Nzk3NC5JUV9DTE9TRVBSSUNFLjIwMTYtMDItMDkuVVNEAQAAAKRdDQACAAAACjEzNy41NzYwMTYA5xDBJ11A1wi3o/4nXUDXCClDSVEuVFNFOjc5NzQuSVFfQ0xPU0VQUklDRS4yMDE1LTEyLTAxLlVTRAEAAACkXQ0AAgAAAAoxNTYuNTUzOTM0AOcQwSddQNcIa0H8J11A1wg2Q0lRLktPU0U6QTI1MTI3MC5JUV9FQklUREFfRVNULkNZMjAyMC4yMDE5LTA5LTIzLi4uVVNEAQAAAFnuLwkCAAAADzQwNS44NDI2NzYxMjkyNwEOAAAABQAAAAIxMQEAAAABMAIAAAAKMTAwMzczODI4OQMAAAAGMTAwMTg3BAAAAAEzBgAAAAEwBwAAAAMxNjAIAAAAATAJAAAAATEKAAAAATALAAAACzExNjEwODE3OTYwDAAAAAE3DQAAAAk5LzI0LzIwMTkQ</t>
  </si>
  <si>
    <t>AAAACTkvMjMvMjAxOecQwSddQNcIAwYBKF1A1wghQ0lRLklRVFI1NTE3OTk2NjkuSVFfVFJfQlVZRVJOQU1FAQAAAHXL4yADAAAAVlNoZW56aGVuIEhlbmd0YWkgU3RhYmxlIEdyb3d0aCBJbnZlc3RtZW50IFBhcnRuZXJzaGlwIEVudGVycHJpc2UgKExpbWl0ZWQgUGFydG5lcnNoaXApAOcQwSddQNcIAwYBKF1A1wgsQ0lRLlRTRTo3OTc0LklRX1RFVl9FQklUREEuSVFfTFRNLjIwMTYtMDMtMTUBAAAApF0NAAIAAAAJMjIuOTAwOTQ4AQcAAAAFAAAAATEBAAAACjE3NzY1ODQwNDMDAAAAATACAAAABjEwMDAzMAQAAAABMAcAAAAJMy8xNS8yMDE2CAAAAAkzLzE1LzIwMTbnEMEnXUDXCDbf+SddQNcILENJUS5UU0U6Nzk3NC5JUV9URVZfRUJJVERBLklRX0xUTS4yMDE2LTAzLTA4AQAAAKRdDQACAAAACTIyLjY2ODc4MwEHAAAABQAAAAExAQAAAAoxNzc2NTg0MDQzAwAAAAEwAgAAAAYxMDAwMzAEAAAAATAHAAAACDMvOC8yMDE2CAAAAAgzLzgvMjAxNucQwSddQNcIAwYBKF1A1wgqQ0lRLlRTRTo3OTc0LklRX0dQLkNZMjAxNi4yMDE5LTA5LTIzLi4uVVNEAQAAAKRdDQACAAAACzE1MjIuMzIxMTEyAQgAAAAFAAAAATEBAAAACjE4Mjc3Njc3OTcDAAAAAzE2MAIAAAACMTAEAAAAATAHAAAACTkvMjMvMjAxOQgAAAAKMTIvMzEvMjAxNgkAAAABMOcQwSddQNcIYsoFKF1A1wgsQ0lRLlRTRTo3OTc0LklRX1RF</t>
  </si>
  <si>
    <t>Vl9FQklUREEuSVFfTFRNLjIwMTctMDYtMjABAAAApF0NAAIAAAAINjEuMjU1OTEBBwAAAAUAAAABMQEAAAAKMTgzODIwNDA3NAMAAAABMAIAAAAGMTAwMDMwBAAAAAEwBwAAAAk2LzIwLzIwMTcIAAAACTYvMjAvMjAxN+cQwSddQNcIYsoFKF1A1wgpQ0lRLlRTRTo3OTc0LklRX0NMT1NFUFJJQ0UuMjAxNS0wOS0yOS5VU0QBAAAApF0NAAIAAAAKMTYxLjE0NDk2MgDnEMEnXUDXCAMGAShdQNcIKUNJUS5UU0U6Nzk3NC5JUV9DTE9TRVBSSUNFLjIwMTYtMTItMjcuVVNEAQAAAKRdDQACAAAACjIwOC45MDc2MDUA5xDBJ11A1whrQfwnXUDXCDRDSVEuRU5YVFBBOlVCSS5JUV9UT1RBTF9ERUJULklRX0xUTS4yMDE5LTA5LTIzLi4uVVNEAQAAABl2DQACAAAACzE1MDguMDQxNTI3AQgAAAAFAAAAATEBAAAACjE5Njg0NjI4NzEDAAAAAzE2MAIAAAAENDE3MwQAAAABMAcAAAAJOS8yMy8yMDE5CAAAAAkzLzMxLzIwMTkJAAAAATCnmconXUDXCDbf+SddQNcILENJUS5UU0U6Nzk3NC5JUV9URVZfRUJJVERBLklRX0xUTS4yMDE4LTAzLTI3AQAAAKRdDQACAAAACTI2LjQ3NzM4OQEHAAAABQAAAAExAQAAAAoxODc0MTkzMzQwAwAAAAEwAgAAAAYxMDAwMzAEAAAAATAHAAAACTMvMjcvMjAxOAgAAAAJMy8yNy8yMDE45xDBJ11A1whiygUoXUDXCDZDSVEuTkFTREFRR1M6VFRXTy5JUV9UT1RBTF9SRVYuQ1kyMDE3LjIw</t>
  </si>
  <si>
    <t>MTktMDktMjMuLi5VU0QBAAAAUaoFAAIAAAAIMTkxNC4xNzQBCAAAAAUAAAABMQEAAAAKMTk0MzkyNTIzNAMAAAADMTYwAgAAAAIyOAQAAAABMAcAAAAJOS8yMy8yMDE5CAAAAAoxMi8zMS8yMDE3CQAAAAEw5xDBJ11A1whxaAMoXUDXCCxDSVEuVFNFOjc5NzQuSVFfVEVWX0VCSVREQS5JUV9MVE0uMjAxNS0wNi0zMAEAAACkXQ0AAgAAAAk0NS43MDMyNjkBBwAAAAUAAAABMQEAAAAKMTc0NTkyMjc3MgMAAAABMAIAAAAGMTAwMDMwBAAAAAEwBwAAAAk2LzMwLzIwMTUIAAAACTYvMzAvMjAxNecQwSddQNcIAwYBKF1A1wgpQ0lRLlRTRTo3OTc0LklRX0NMT1NFUFJJQ0UuMjAxOC0xMS0yNy5VU0QBAAAApF0NAAIAAAAJMjg3LjI5NjcxAOcQwSddQNcINt/5J11A1wgsQ0lRLlRTRTo3OTc0LklRX1RFVl9FQklUREEuSVFfTFRNLjIwMTctMDUtMDkBAAAApF0NAAIAAAAJNDMuMjA1Njk0AQcAAAAFAAAAATEBAAAACjE4MzgyMDQwNzQDAAAAATACAAAABjEwMDAzMAQAAAABMAcAAAAINS85LzIwMTcIAAAACDUvOS8yMDE35xDBJ11A1wg23/knXUDXCClDSVEuVFNFOjc5NzQuSVFfQ0xPU0VQUklDRS4yMDE4LTA3LTEwLlVTRAEAAACkXQ0AAgAAAAozMTkuMjQ4Mzk0AOcQwSddQNcIa0H8J11A1wg2Q0lRLlRTRTo5Njg0LklRX0RJTFVUX0VQU19FWENMLklRX0xUTS4yMDE5LTA5LTIzLi4uVVNEAQAAAKl9DQACAAAA</t>
  </si>
  <si>
    <t>CDEuMjk5MzM3AQgAAAAFAAAAATEBAAAACjE5NzU3OTI2NDMDAAAAAzE2MAIAAAADMTQyBAAAAAEwBwAAAAk5LzIzLzIwMTkIAAAACTYvMzAvMjAxOQkAAAABMOcQwSddQNcIcWgDKF1A1wgsQ0lRLlRTRTo3OTc0LklRX1RFVl9FQklUREEuSVFfTFRNLjIwMTUtMTItMDgBAAAApF0NAAIAAAAJMzAuMjU2NzMyAQcAAAAFAAAAATEBAAAACjE3NjUxNTM2NzEDAAAAATACAAAABjEwMDAzMAQAAAABMAcAAAAJMTIvOC8yMDE1CAAAAAkxMi84LzIwMTXnEMEnXUDXCGLKBShdQNcILUNJUS5OQVNEQVFHUzpFQS5JUV9URVYuNDQ5MjYuMjAxOS0wOS0yMy4uLlVTRAEAAAA7bQAAAgAAAAwyNDk4Mi4zODE0NjYBBgAAAAUAAAABMQEAAAAKMTk3NDIzNTM0OQMAAAADMTYwAgAAAAYxMDAwNjAEAAAAATAHAAAACTkvMjMvMjAxOecQwSddQNcIa0H8J11A1wgsQ0lRLlRTRTo3OTc0LklRX1RFVl9FQklUREEuSVFfTFRNLjIwMTktMDctMjMBAAAApF0NAAIAAAAJMTMuODI3NzI1AQcAAAAFAAAAATEBAAAACjE5NzAyMjA1MTUDAAAAATACAAAABjEwMDAzMAQAAAABMAcAAAAJNy8yMy8yMDE5CAAAAAk3LzIzLzIwMTmnmconXUDXCLej/iddQNcIKUNJUS5UU0U6Nzk3NC5JUV9DTE9TRVBSSUNFLjIwMTYtMTAtMTEuVVNEAQAAAKRdDQACAAAACjI1NC4yNTYxNDYA5xDBJ11A1whxaAMoXUDXCClDSVEuVFNFOjc5NzQuSVFfQ0xP</t>
  </si>
  <si>
    <t>U0VQUklDRS4yMDE2LTA1LTEwLlVTRAEAAACkXQ0AAgAAAAoxMzkuMDQ2NzQ5AOcQwSddQNcIAwYBKF1A1wgpQ0lRLlRTRTo3OTc0LklRX0NMT1NFUFJJQ0UuMjAxNy0xMS0yOC5VU0QBAAAApF0NAAIAAAAJNDIyLjk4MTg4AOcQwSddQNcIa0H8J11A1wgiQ0lRLlRTRTo3OTc0LklRX1RFVi4yMDE5LTA5LTIzLlVTRAEAAACkXQ0AAgAAAAwzODg3MS4zMjkxNDEBBgAAAAUAAAABMQEAAAAKMTk3NTc4NzA4NgMAAAADMTYwAgAAAAYxMDAwNjAEAAAAATAHAAAACTkvMjAvMjAxOecQwSddQNcIcWgDKF1A1wgsQ0lRLlRTRTo3OTc0LklRX1RFVl9FQklUREEuSVFfTFRNLjIwMTUtMTItMTUBAAAApF0NAAIAAAAJMjYuMjkzOTkxAQcAAAAFAAAAATEBAAAACjE3NjUxNTM2NzEDAAAAATACAAAABjEwMDAzMAQAAAABMAcAAAAKMTIvMTUvMjAxNQgAAAAKMTIvMTUvMjAxNecQwSddQNcIAwYBKF1A1wgpQ0lRLlRTRTo3OTc0LklRX0NMT1NFUFJJQ0UuMjAxOS0wNC0wOS5VU0QBAAAApF0NAAIAAAAKMjk5LjEwOTE0MwDnEMEnXUDXCAMGAShdQNcILENJUS5UU0U6Nzk3NC5JUV9URVZfRUJJVERBLklRX0xUTS4yMDE2LTEyLTEzAQAAAKRdDQACAAAACDYyLjg4OTM1AQcAAAAFAAAAATEBAAAACjE4MTgwNjgyMjEDAAAAATACAAAABjEwMDAzMAQAAAABMAcAAAAKMTIvMTMvMjAxNggAAAAKMTIvMTMvMjAxNucQwSddQNcI</t>
  </si>
  <si>
    <t>AwYBKF1A1wg2Q0lRLktPU0U6QTI1MTI3MC5JUV9FQklUREFfRVNULkNZMjAxOS4yMDE5LTA5LTIzLi4uVVNEAQAAAFnuLwkCAAAADzMwNC44ODkzMTI1MjE5OAEOAAAABQAAAAIxMQEAAAABMAIAAAAKMTAwMzY2MzEwOQMAAAAGMTAwMTg3BAAAAAEzBgAAAAEwBwAAAAMxNjAIAAAAATAJAAAAATEKAAAAATALAAAACzExNjEwODEyODcyDAAAAAE3DQAAAAk5LzI0LzIwMTkQAAAACTkvMjMvMjAxOecQwSddQNcIt6P+J11A1wgpQ0lRLlRTRTo3OTc0LklRX0NMT1NFUFJJQ0UuMjAxNS0wOC0wNC5VU0QBAAAApF0NAAIAAAAKMTgwLjA3MjYwNADnEMEnXUDXCAMGAShdQNcILENJUS5UU0U6Nzk3NC5JUV9URVZfRUJJVERBLklRX0xUTS4yMDE5LTAyLTE5AQAAAKRdDQACAAAACDkuOTgxNjk1AQcAAAAFAAAAATEBAAAACjE5NDQ1OTc2NTgDAAAAATACAAAABjEwMDAzMAQAAAABMAcAAAAJMi8xOS8yMDE5CAAAAAkyLzE5LzIwMTnnEMEnXUDXCGtB/CddQNcIN0NJUS5UU0U6Nzk3NC5JUV9FRkZFQ1RfVEFYX1JBVEUuQ1kyMDE4LjIwMTktMDktMjMuLi5VU0QBAAAApF0NAAIAAAAHMjkuMTc3OAEIAAAABQAAAAExAQAAAAoxOTQ0NTk3NjU4AwAAAAI3OQIAAAAENDM3NgQAAAABMAcAAAAJOS8yMy8yMDE5CAAAAAoxMi8zMS8yMDE4CQAAAAEwp5nKJ11A1whiygUoXUDXCClDSVEuVFNFOjc5NzQuSVFfQ0xPU0VQUklD</t>
  </si>
  <si>
    <t>RS4yMDE2LTAzLTE1LlVTRAEAAACkXQ0AAgAAAAoxNDAuODg5OTcxAOcQwSddQNcIAwYBKF1A1wgpQ0lRLlRTRTo3OTc0LklRX0NMT1NFUFJJQ0UuMjAxOS0wMy0xOS5VU0QBAAAApF0NAAIAAAAKMjgyLjgyNzM3MgDnEMEnXUDXCDbf+SddQNcIMkNJUS5UU0U6OTY4NC5JUV9FQklUREFfRVNULkNZMjAxOS4yMDE5LTA5LTIzLi4uVVNEAQAAAKl9DQACAAAAEDMzMS4xODQwMzc1ODI2NTIBDgAAAAUAAAACMTEBAAAAATACAAAACDQ2ODI3MzM1AwAAAAYxMDAxODcEAAAAAjU2BgAAAAEwBwAAAAMxNjAIAAAAATAJAAAAATEKAAAAATALAAAACzExNjA5Mzc4ODgwDAAAAAE3DQAAAAk5LzI0LzIwMTkQAAAACTkvMjMvMjAxOecQwSddQNcIAwYBKF1A1wgpQ0lRLlRTRTo3OTc0LklRX0NMT1NFUFJJQ0UuMjAxOC0wNi0xOS5VU0QBAAAApF0NAAIAAAAKMzI3Ljc1ODU3MQDnEMEnXUDXCHFoAyhdQNcIKUNJUS5UU0U6Nzk3NC5JUV9DTE9TRVBSSUNFLjIwMTYtMDMtMDguVVNEAQAAAKRdDQACAAAACjE0MC42NDE2NjUA5xDBJ11A1wi3o/4nXUDXCDpDSVEuTkFTREFRR1M6QVRWSS5JUV9DQVNIX0lOVEVSRVNULklRX0xUTS4yMDE5LTA5LTIzLi4uVVNEAQAAABdtQAACAAAAAzE1MAEIAAAABQAAAAExAQAAAAoxOTc1MDM5MDUyAwAAAAMxNjACAAAABDMwMjgEAAAAATAHAAAACTkvMjMvMjAxOQgAAAAJNi8zMC8yMDE5</t>
  </si>
  <si>
    <t>CQAAAAEwp5nKJ11A1wi3o/4nXUDXCDxDSVEuTkFTREFRR1M6RUEuSVFfU0hPUlRfQlVTSU5FU1NfREVTQ1JJUFRJT04uMjAxOS0wOS0yMy5VU0QBAAAAO20AAAMAAACdAUVsZWN0cm9uaWMgQXJ0cyBJbmMuIGRldmVsb3BzLCBtYXJrZXRzLCBwdWJsaXNoZXMsIGFuZCBkaXN0cmlidXRlcyBnYW1lcywgY29udGVudCwgYW5kIHNlcnZpY2VzIGZvciBnYW1lIGNvbnNvbGVzLCBQQ3MsIG1vYmlsZSBwaG9uZXMsIGFuZCB0YWJsZXRzIHdvcmxkd2lkZS4A5xDBJ11A1whrQfwnXUDXCClDSVEuVFNFOjc5NzQuSVFfQ0xPU0VQUklDRS4yMDE1LTEwLTIwLlVTRAEAAACkXQ0AAgAAAAgxOTQuMzEyNADnEMEnXUDXCLej/iddQNcILkNJUS5UU0U6OTY4NC5JUV9FQklUREEuQ1kyMDE3LjIwMTktMDktMjMuLi5VU0QBAAAAqX0NAAIAAAAKNDQyLjM3MzU5NgEIAAAABQAAAAExAQAAAAoxODc0MDA3OTE1AwAAAAMxNjACAAAABDQwNTEEAAAAATAHAAAACTkvMjMvMjAxOQgAAAAKMTIvMzEvMjAxNwkAAAABMOcQwSddQNcIa0H8J11A1wg2Q0lRLk5BU0RBUUdTOkVBLklRX1JFVkVOVUVfRVNULkNZMjAxOS4yMDE5LTA5LTIzLi4uVVNEAQAAADttAAACAAAACTUyOTAuNDg3MgEOAAAABQAAAAIxMQEAAAABMAIAAAAHNzg3NTM2MQMAAAAGMTAwMTgwBAAAAAEyBgAAAAEwBwAAAAMxNjAIAAAAATAJAAAAATEKAAAAATALAAAA</t>
  </si>
  <si>
    <t>CzExNTk5MjYxMTEzDAAAAAE3DQAAAAk5LzI0LzIwMTkQAAAACTkvMjMvMjAxOecQwSddQNcIYsoFKF1A1wgsQ0lRLlRTRTo3OTc0LklRX1RFVl9FQklUREEuSVFfTFRNLjIwMTgtMDgtMDcBAAAApF0NAAIAAAAJMTcuMjg5OTI1AQcAAAAFAAAAATEBAAAACjE4OTc3ODIyNTkDAAAAATACAAAABjEwMDAzMAQAAAABMAcAAAAIOC83LzIwMTgIAAAACDgvNy8yMDE45xDBJ11A1whrQfwnXUDXCClDSVEuVFNFOjc5NzQuSVFfQ0xPU0VQUklDRS4yMDE4LTAxLTAyLlVTRAEAAACkXQ0AAwAAAAAA5xDBJ11A1whxaAMoXUDXCClDSVEuVFNFOjc5NzQuSVFfQ0xPU0VQUklDRS4yMDE2LTExLTAxLlVTRAEAAACkXQ0AAgAAAAoyNDQuMDQxNjIxAOcQwSddQNcIa0H8J11A1wg5Q0lRLlRTRTozNjU5LklRX1NIT1JUX0JVU0lORVNTX0RFU0NSSVBUSU9OLjIwMTktMDktMjMuVVNEAQAAAJ4fgggDAAAAQU5FWE9OIENvLiwgTHRkLiBkZXZlbG9wcyBhbmQgc2VydmljZXMgUEMgb25saW5lIGFuZCBtb2JpbGUgZ2FtZXMuAOcQwSddQNcIAwYBKF1A1wgsQ0lRLlRTRTo3OTc0LklRX1RFVl9FQklUREEuSVFfTFRNLjIwMTYtMDEtMjYBAAAApF0NAAIAAAAJMjMuMjQ5OTQ4AQcAAAAFAAAAATEBAAAACjE3NjUxNTM2NzEDAAAAATACAAAABjEwMDAzMAQAAAABMAcAAAAJMS8yNi8yMDE2CAAAAAkxLzI2LzIwMTbnEMEnXUDXCGtB</t>
  </si>
  <si>
    <t>/CddQNcIKENJUS5UU0U6MzY1OS5JUV9NQVJLRVRDQVAuMjAxOS0wOS0yMy5VU0QBAAAAnh+CCAIAAAAMMTE3MTMuMDc0NjYyAQYAAAAFAAAAATEBAAAACjE5NzU3ODY2MjIDAAAAAzE2MAIAAAAGMTAwMDU0BAAAAAEwBwAAAAk5LzIwLzIwMTnnEMEnXUDXCDbf+SddQNcIKUNJUS5UU0U6Nzk3NC5JUV9DTE9TRVBSSUNFLjIwMTktMDYtMjUuVVNEAQAAAKRdDQACAAAACjM1Ni43MjU0MjgAp5nKJ11A1wi3o/4nXUDXCDVDSVEuTkFTREFRR1M6RUEuSVFfRUJJVERBX0VTVC5DWTIwMjAuMjAxOS0wOS0yMy4uLlVTRAEAAAA7bQAAAgAAAAkxODQ5LjkxNDcBDgAAAAUAAAACMTEBAAAAATACAAAACDI4NzExMjAzAwAAAAYxMDAxODcEAAAAATIGAAAAATAHAAAAAzE2MAgAAAABMAkAAAABMQoAAAABMAsAAAALMTE1NDQ1MTEzNTcMAAAAATcNAAAACTkvMjQvMjAxORAAAAAJOS8yMy8yMDE55xDBJ11A1whxaAMoXUDXCClDSVEuVFNFOjc5NzQuSVFfQ0xPU0VQUklDRS4yMDE1LTA4LTI1LlVTRAEAAACkXQ0AAgAAAAoxODYuMzI3NjM2AOcQwSddQNcIt6P+J11A1wgpQ0lRLlRTRTo3OTc0LklRX0NMT1NFUFJJQ0UuMjAxNy0wNC0yNS5VU0QBAAAApF0NAAIAAAAKMjUyLjAzOTQ5MgDnEMEnXUDXCHFoAyhdQNcILENJUS5UU0U6Nzk3NC5JUV9URVZfRUJJVERBLklRX0xUTS4yMDE3LTAyLTIxAQAAAKRdDQACAAAACTQw</t>
  </si>
  <si>
    <t>Ljk1NDM1MgEHAAAABQAAAAExAQAAAAoxODI3NzY3Nzk3AwAAAAEwAgAAAAYxMDAwMzAEAAAAATAHAAAACTIvMjEvMjAxNwgAAAAJMi8yMS8yMDE35xDBJ11A1whrQfwnXUDXCCxDSVEuVFNFOjc5NzQuSVFfVEVWX0VCSVREQS5JUV9MVE0uMjAxNi0xMS0wOAEAAACkXQ0AAgAAAAk1Mi4xMzY4MzUBBwAAAAUAAAABMQEAAAAKMTgxNDU2NzEwOAMAAAABMAIAAAAGMTAwMDMwBAAAAAEwBwAAAAkxMS84LzIwMTYIAAAACTExLzgvMjAxNucQwSddQNcIYsoFKF1A1wgsQ0lRLlRTRTo3OTc0LklRX1RFVl9FQklUREEuSVFfTFRNLjIwMTktMDktMjQBAAAApF0NAAIAAAAJMTUuOTM4OTM4AQcAAAAFAAAAATEBAAAACjE5NzU3OTI0NzADAAAAATACAAAABjEwMDAzMAQAAAABMAcAAAAJOS8yMC8yMDE5CAAAAAk5LzIwLzIwMTmnmconXUDXCGtB/CddQNcILENJUS5UU0U6Nzk3NC5JUV9URVZfRUJJVERBLklRX0xUTS4yMDE2LTEwLTI1AQAAAKRdDQACAAAACTU3LjI3MTMyMQEHAAAABQAAAAExAQAAAAoxODAyNzc2Nzc1AwAAAAEwAgAAAAYxMDAwMzAEAAAAATAHAAAACjEwLzI1LzIwMTYIAAAACjEwLzI1LzIwMTbnEMEnXUDXCDbf+SddQNcIL0NJUS5OQVNEQVFHUzpBVFZJLklRX1RFVi40NDU2MS4yMDE5LTA5LTIzLi4uVVNEAQAAABdtQAACAAAADDM5ODQ5LjQ2NTQyOQEGAAAABQAAAAExAQAAAAoxOTc1MDM4Nzk5</t>
  </si>
  <si>
    <t>AwAAAAMxNjACAAAABjEwMDA2MAQAAAABMAcAAAAJOS8yMy8yMDE55xDBJ11A1wi3o/4nXUDXCDdDSVEuS09TRTpBMjUxMjcwLklRX1JFVkVOVUVfRVNULkNZMjAyMS4yMDE5LTA5LTIzLi4uVVNEAQAAAFnuLwkCAAAAEDIyOTUuNjM1MzA3NjQ2MzIBDgAAAAUAAAACMTEBAAAAATACAAAACjEwMDM3MzgyOTADAAAABjEwMDE4MAQAAAABMwYAAAABMAcAAAADMTYwCAAAAAEwCQAAAAExCgAAAAEwCwAAAAsxMTYxMDg0NjgyMAwAAAABNw0AAAAJOS8yNC8yMDE5EAAAAAk5LzIzLzIwMTnnEMEnXUDXCGLKBShdQNcIKkNJUS5UU0U6MzY1OS5JUV9URVYuNDMxMDAuMjAxOS0wOS0yMy4uLlVTRAEAAACeH4IIAgAAAAs5NTAxLjM3NzQ0MgEGAAAABQAAAAExAQAAAAoxODY1NzgyNDI1AwAAAAMxNjACAAAABjEwMDA2MAQAAAABMAcAAAAKMTIvMzEvMjAxN+cQwSddQNcIYsoFKF1A1wgsQ0lRLlRTRTo3OTc0LklRX1RFVl9FQklUREEuSVFfTFRNLjIwMTYtMTEtMTUBAAAApF0NAAIAAAAJNTIuNjc2NTI5AQcAAAAFAAAAATEBAAAACjE4MTgwNjgyMjEDAAAAATACAAAABjEwMDAzMAQAAAABMAcAAAAKMTEvMTUvMjAxNggAAAAKMTEvMTUvMjAxNucQwSddQNcIAwYBKF1A1wgsQ0lRLlRTRTo3OTc0LklRX1RFVl9FQklUREEuSVFfTFRNLjIwMTgtMDItMjABAAAApF0NAAIAAAAJMjUuODU0Nzc0AQcAAAAFAAAAATEBAAAA</t>
  </si>
  <si>
    <t>CjE4NzQxOTMzNDADAAAAATACAAAABjEwMDAzMAQAAAABMAcAAAAJMi8yMC8yMDE4CAAAAAkyLzIwLzIwMTjnEMEnXUDXCGtB/CddQNcILENJUS5UU0U6Nzk3NC5JUV9URVZfRUJJVERBLklRX0xUTS4yMDE5LTA3LTAyAQAAAKRdDQACAAAACTEzLjkxMjc0NgEHAAAABQAAAAExAQAAAAoxOTcwMjIwNTE1AwAAAAEwAgAAAAYxMDAwMzAEAAAAATAHAAAACDcvMi8yMDE5CAAAAAg3LzIvMjAxOaeZyiddQNcINt/5J11A1wgsQ0lRLlRTRTo3OTc0LklRX1RFVl9FQklUREEuSVFfTFRNLjIwMTgtMDgtMjEBAAAApF0NAAIAAAAJMTcuNDI0MzY3AQcAAAAFAAAAATEBAAAACjE5MDAyNzI3OTYDAAAAATACAAAABjEwMDAzMAQAAAABMAcAAAAJOC8yMS8yMDE4CAAAAAk4LzIxLzIwMTjnEMEnXUDXCLej/iddQNcIKUNJUS5UU0U6Nzk3NC5JUV9DTE9TRVBSSUNFLjIwMTctMTAtMzEuVVNEAQAAAKRdDQACAAAACjM4NS4yMDczMzQA5xDBJ11A1whrQfwnXUDXCCxDSVEuVFNFOjc5NzQuSVFfVEVWX0VCSVREQS5JUV9MVE0uMjAxOS0wMS0xNQEAAACkXQ0AAgAAAAkxMy45NDU2MDIBBwAAAAUAAAABMQEAAAAKMTkyMTUxODQyMwMAAAABMAIAAAAGMTAwMDMwBAAAAAEwBwAAAAkxLzE1LzIwMTkIAAAACTEvMTUvMjAxOecQwSddQNcINt/5J11A1wglQ0lRLlRTRTo3OTc0LklRX1RFVi4uMjAxOS0wOS0yMy4uLlVTRAEAAACk</t>
  </si>
  <si>
    <t>XQ0AAgAAAAwzODg3MS4zMjkxNDEBBgAAAAUAAAABMQEAAAAKMTk3NTc4NzA4NgMAAAADMTYwAgAAAAYxMDAwNjAEAAAAATAHAAAACTkvMjAvMjAxOecQwSddQNcINt/5J11A1wgpQ0lRLlRTRTo3OTc0LklRX0NMT1NFUFJJQ0UuMjAxOC0wNC0xMC5VU0QBAAAApF0NAAIAAAAKNDE5LjY1NTM0NgDnEMEnXUDXCAMGAShdQNcILkNJUS5OQVNEQVFHUzpFQS5JUV9DT01QQU5ZX05BTUUuMjAxOS0wOS0yMy5VU0QBAAAAO20AAAMAAAAURWxlY3Ryb25pYyBBcnRzIEluYy4A5xDBJ11A1wi3o/4nXUDXCCtDSVEuTkFTREFRR1M6RUEuSVFfTUFSS0VUQ0FQLjIwMTktMDktMjMuVVNEAQAAADttAAACAAAADDI4OTM0LjM4MTQ2NgEGAAAABQAAAAExAQAAAAoxOTc0MjM1MzQ5AwAAAAMxNjACAAAABjEwMDA1NAQAAAABMAcAAAAJOS8yMy8yMDE55xDBJ11A1wgDBgEoXUDXCClDSVEuVFNFOjc5NzQuSVFfQ0xPU0VQUklDRS4yMDE4LTA1LTI5LlVTRAEAAACkXQ0AAgAAAAkzODkuOTM4ODUA5xDBJ11A1wi3o/4nXUDXCClDSVEuVFNFOjc5NzQuSVFfQ0xPU0VQUklDRS4yMDE1LTExLTI0LlVTRAEAAACkXQ0AAgAAAAoxNTcuNzI5MzU1AOcQwSddQNcIAwYBKF1A1wgqQ0lRLlRTRTo5Njg0LklRX1RFVi40MjM2OS4yMDE5LTA5LTIzLi4uVVNEAQAAAKl9DQACAAAACzIyMzYuODc0MTAzAQYAAAAFAAAAATEBAAAACjE3NjUx</t>
  </si>
  <si>
    <t>NDczNTQDAAAAAzE2MAIAAAAGMTAwMDYwBAAAAAEwBwAAAAoxMi8zMS8yMDE15xDBJ11A1wg23/knXUDXCDZDSVEuTkFTREFRR1M6VFRXTy5JUV9UT1RBTF9SRVYuQ1kyMDE2LjIwMTktMDktMjMuLi5VU0QBAAAAUaoFAAIAAAAIMTU4NS4zOTgBCAAAAAUAAAABMQEAAAAKMTg3MzUzNDI4MgMAAAADMTYwAgAAAAIyOAQAAAABMAcAAAAJOS8yMy8yMDE5CAAAAAoxMi8zMS8yMDE2CQAAAAEw5xDBJ11A1wgDBgEoXUDXCCxDSVEuVFNFOjc5NzQuSVFfVEVWX0VCSVREQS5JUV9MVE0uMjAxOS0wNS0yOAEAAACkXQ0AAgAAAAkxMy40NTE5NjgBBwAAAAUAAAABMQEAAAAKMTk1Njc0ODA4NgMAAAABMAIAAAAGMTAwMDMwBAAAAAEwBwAAAAk1LzI4LzIwMTkIAAAACTUvMjgvMjAxOecQwSddQNcIt6P+J11A1wgyQ0lRLk5BU0RBUUdTOkFUVkkuSVFfQ1VTVE9NX0JFVEEuLjIwMTktMDktMjMuLi5VU0QBAAAAF21AAAIAAAARMC44Njc2NDQxNjU4MzA2MDIAp5nKJ11A1wg23/knXUDXCCxDSVEuVFNFOjc5NzQuSVFfVEVWX0VCSVREQS5JUV9MVE0uMjAxNy0wNy0wNAEAAACkXQ0AAgAAAAk1Ni4zNjc4NzgBBwAAAAUAAAABMQEAAAAKMTg0OTAzMzEzOAMAAAABMAIAAAAGMTAwMDMwBAAAAAEwBwAAAAg3LzQvMjAxNwgAAAAINy80LzIwMTfnEMEnXUDXCDbf+SddQNcILENJUS5UU0U6Nzk3NC5JUV9URVZfRUJJVERBLklR</t>
  </si>
  <si>
    <t>X0xUTS4yMDE1LTExLTAzAQAAAKRdDQACAAAACTM0LjE2NTQ2MQEHAAAABQAAAAExAQAAAAoxNzYxNTE0MzM2AwAAAAEwAgAAAAYxMDAwMzAEAAAAATAHAAAACTExLzIvMjAxNQgAAAAJMTEvMi8yMDE15xDBJ11A1whrQfwnXUDXCC9DSVEuTkFTREFRR1M6VFRXTy5JUV9URVYuNDI3MzUuMjAxOS0wOS0yMy4uLlVTRAEAAABRqgUAAgAAAAkzNjAzLjU4NDQBBgAAAAUAAAABMQEAAAAKMTgxNjIyNjA0NAMAAAADMTYwAgAAAAYxMDAwNjAEAAAAATAHAAAACjEyLzMxLzIwMTbnEMEnXUDXCLej/iddQNcILENJUS5UU0U6Nzk3NC5JUV9URVZfRUJJVERBLklRX0xUTS4yMDE1LTA1LTE5AQAAAKRdDQACAAAACTUwLjE3Mzc1MQEHAAAABQAAAAExAQAAAAoxNzMyNjYwNjYyAwAAAAEwAgAAAAYxMDAwMzAEAAAAATAHAAAACTUvMTkvMjAxNQgAAAAJNS8xOS8yMDE15xDBJ11A1whrQfwnXUDXCDZDSVEuTkFTREFRR1M6QVRWSS5JUV9UT1RBTF9SRVYuQ1kyMDE3LjIwMTktMDktMjMuLi5VU0QBAAAAF21AAAIAAAAENzAxNwEIAAAABQAAAAExAQAAAAoxOTQ3ODI4NzYwAwAAAAMxNjACAAAAAjI4BAAAAAEwBwAAAAk5LzIzLzIwMTkIAAAACjEyLzMxLzIwMTcJAAAAATDnEMEnXUDXCHFoAyhdQNcIMUNJUS5UU0U6OTY4NC5JUV9UT1RBTF9SRVYuSVFfTFRNLjIwMTktMDktMjMuLi5VU0QBAAAAqX0NAAIAAAALMjU4Ny42</t>
  </si>
  <si>
    <t>MjM1NjIBCAAAAAUAAAABMQEAAAAKMTk3NTc5MjY0MwMAAAADMTYwAgAAAAIyOAQAAAABMAcAAAAJOS8yMy8yMDE5CAAAAAk2LzMwLzIwMTkJAAAAATDnEMEnXUDXCAMGAShdQNcIKUNJUS5UU0U6Nzk3NC5JUV9DTE9TRVBSSUNFLjIwMTctMTItMTIuVVNEAQAAAKRdDQACAAAACjM4Ni4yMDU2ODQA5xDBJ11A1wi3o/4nXUDXCClDSVEuVFNFOjc5NzQuSVFfQ0xPU0VQUklDRS4yMDE1LTEyLTA4LlVTRAEAAACkXQ0AAgAAAAoxNDkuMzMwODQ3AOcQwSddQNcIcWgDKF1A1wgpQ0lRLlRTRTo3OTc0LklRX0NMT1NFUFJJQ0UuMjAxNS0xMC0wNi5VU0QBAAAApF0NAAIAAAAKMTc4LjMyOTM5MwDnEMEnXUDXCGtB/CddQNcIKUNJUS5UU0U6Nzk3NC5JUV9DTE9TRVBSSUNFLjIwMTctMTAtMTAuVVNEAQAAAKRdDQACAAAACjM4Ni45NjE1NjYA5xDBJ11A1whxaAMoXUDXCCxDSVEuVFNFOjc5NzQuSVFfVEVWX0VCSVREQS5JUV9MVE0uMjAxNi0wOS0xMwEAAACkXQ0AAgAAAAk2MC4yNzAwODQBBwAAAAUAAAABMQEAAAAKMTgwMjc3Njc3NQMAAAABMAIAAAAGMTAwMDMwBAAAAAEwBwAAAAk5LzEzLzIwMTYIAAAACTkvMTMvMjAxNucQwSddQNcIcWgDKF1A1wgsQ0lRLlRTRTo3OTc0LklRX1RFVl9FQklUREEuSVFfTFRNLjIwMTgtMTAtMzABAAAApF0NAAIAAAAJMTUuNDU4MjAzAQcAAAAFAAAAATEBAAAACjE5MTY3NDY1</t>
  </si>
  <si>
    <t>NzgDAAAAATACAAAABjEwMDAzMAQAAAABMAcAAAAKMTAvMzAvMjAxOAgAAAAKMTAvMzAvMjAxOOcQwSddQNcIa0H8J11A1wgpQ0lRLlRTRTo3OTc0LklRX0NMT1NFUFJJQ0UuMjAxOS0wNC0zMC5VU0QBAAAApF0NAAMAAAAAAOcQwSddQNcIcWgDKF1A1wgxQ0lRLktPU0U6QTI1MTI3MC5JUV9DVVNUT01fQkVUQS4uMjAxOS0wOS0yMy4uLlVTRAEAAABZ7i8JAgAAABEwLjgzNDQ5MzcyOTA1NTcyNACnmconXUDXCGtB/CddQNcIL0NJUS5OQVNEQVFHUzpBVFZJLklRX1RFVi40NDkyNi4yMDE5LTA5LTIzLi4uVVNEAQAAABdtQAACAAAADDM5ODQ5LjQ2NTQyOQEGAAAABQAAAAExAQAAAAoxOTc1MDM4Nzk5AwAAAAMxNjACAAAABjEwMDA2MAQAAAABMAcAAAAJOS8yMy8yMDE55xDBJ11A1wi3o/4nXUDXCC1DSVEuTkFTREFRR1M6VFRXTy5JUV9NQVJLRVRDQVAuMjAxOS0wOS0yMy5VU0QBAAAAUaoFAAIAAAALMTM0NjYuODI3NTIBBgAAAAUAAAABMQEAAAAKMTk3NDMwMjQ4OAMAAAADMTYwAgAAAAYxMDAwNTQEAAAAATAHAAAACTkvMjMvMjAxOecQwSddQNcIcWgDKF1A1wgsQ0lRLlRTRTo3OTc0LklRX1RFVl9FQklUREEuSVFfTFRNLjIwMTgtMDEtMTYBAAAApF0NAAIAAAAJNDUuMjEzNDYxAQcAAAAFAAAAATEBAAAACjE4NjU3OTIzNjMDAAAAATACAAAABjEwMDAzMAQAAAABMAcAAAAJMS8xNi8yMDE4CAAAAAkx</t>
  </si>
  <si>
    <t>LzE2LzIwMTjnEMEnXUDXCDbf+SddQNcIKUNJUS5UU0U6Nzk3NC5JUV9DTE9TRVBSSUNFLjIwMTgtMDktMDQuVVNEAQAAAKRdDQACAAAACjM1Ni42NzgxODEA5xDBJ11A1whrQfwnXUDXCC5DSVEuVFNFOjk2ODQuSVFfRUJJVERBLkNZMjAxNi4yMDE5LTA5LTIzLi4uVVNEAQAAAKl9DQACAAAACTI1NS4xMzcwMwEIAAAABQAAAAExAQAAAAoxODI3NTA4MjA3AwAAAAMxNjACAAAABDQwNTEEAAAAATAHAAAACTkvMjMvMjAxOQgAAAAKMTIvMzEvMjAxNgkAAAABMOcQwSddQNcINt/5J11A1wgpQ0lRLlRTRTo3OTc0LklRX0NMT1NFUFJJQ0UuMjAxNi0wNC0wNS5VU0QBAAAApF0NAAIAAAAKMTM1LjkxNTMwNADnEMEnXUDXCLej/iddQNcIQkNJUS5UU0U6Nzk3NC5JUV9DSEFOR0VfTkVUX1dPUktJTkdfQ0FQSVRBTC5DWTIwMTcuMjAxOS0wOS0yMy4uLlVTRAEAAACkXQ0AAgAAAAstMTEzLjA2NDMyMwEIAAAABQAAAAExAQAAAAoxODc0MTkzMzQwAwAAAAMxNjACAAAABDQ0MjEEAAAAATAHAAAACTkvMjMvMjAxOQgAAAAKMTIvMzEvMjAxNwkAAAABMKeZyiddQNcIYsoFKF1A1wgsQ0lRLlRTRTo3OTc0LklRX1RFVl9FQklUREEuSVFfTFRNLjIwMTUtMTItMjIBAAAApF0NAAIAAAAJMjQuNTExNDQzAQcAAAAFAAAAATEBAAAACjE3NjUxNTM2NzEDAAAAATACAAAABjEwMDAzMAQAAAABMAcAAAAKMTIvMjIvMjAxNQgA</t>
  </si>
  <si>
    <t>AAAKMTIvMjIvMjAxNecQwSddQNcINt/5J11A1wg3Q0lRLlRTRTo3OTc0LklRX0NBU0hfQUNRVUlSRV9DRi5DWTIwMTYuMjAxOS0wOS0yMy4uLlVTRAEAAACkXQ0AAwAAAAAAp5nKJ11A1whiygUoXUDXCClDSVEuVFNFOjc5NzQuSVFfQ0xPU0VQUklDRS4yMDE3LTEyLTI2LlVTRAEAAACkXQ0AAgAAAAozNjguMTQ5MTAzAOcQwSddQNcIa0H8J11A1wgsQ0lRLlRTRTo3OTc0LklRX1RFVl9FQklUREEuSVFfTFRNLjIwMTctMDEtMTABAAAApF0NAAIAAAAJNTEuMjExMTQ2AQcAAAAFAAAAATEBAAAACjE4MTgwNjgyMjEDAAAAATACAAAABjEwMDAzMAQAAAABMAcAAAAJMS8xMC8yMDE3CAAAAAkxLzEwLzIwMTfnEMEnXUDXCAMGAShdQNcINkNJUS5OQVNEQVFHUzpUVFdPLklRX1RPVEFMX1JFVi5JUV9MVE0uMjAxOS0wOS0yMy4uLlVTRAEAAABRqgUAAgAAAAgyODIwLjg3MQEIAAAABQAAAAExAQAAAAoxOTc0MzA0MDY2AwAAAAMxNjACAAAAAjI4BAAAAAEwBwAAAAk5LzIzLzIwMTkIAAAACTYvMzAvMjAxOQkAAAABMOcQwSddQNcIYsoFKF1A1wgpQ0lRLlRTRTo3OTc0LklRX0NMT1NFUFJJQ0UuMjAxOS0wMS0wMS5VU0QBAAAApF0NAAMAAAAAAOcQwSddQNcIcWgDKF1A1wgsQ0lRLlRTRTo3OTc0LklRX1RFVl9FQklUREEuSVFfTFRNLjIwMTYtMDgtMDkBAAAApF0NAAIAAAAJNTEuNDE3MzU0AQcAAAAFAAAAATEB</t>
  </si>
  <si>
    <t>AAAACjE4MDI3NzY3NzUDAAAAATACAAAABjEwMDAzMAQAAAABMAcAAAAIOC85LzIwMTYIAAAACDgvOS8yMDE25xDBJ11A1whrQfwnXUDXCClDSVEuVFNFOjc5NzQuSVFfQ0xPU0VQUklDRS4yMDE1LTA5LTIyLlVTRAEAAACkXQ0AAwAAAAAA5xDBJ11A1whxaAMoXUDXCCxDSVEuVFNFOjc5NzQuSVFfVEVWX0VCSVREQS5JUV9MVE0uMjAxOS0wNi0xMQEAAACkXQ0AAgAAAAkxMy41NjgzMTMBBwAAAAUAAAABMQEAAAAKMTk1Njc0ODA4NgMAAAABMAIAAAAGMTAwMDMwBAAAAAEwBwAAAAk2LzExLzIwMTkIAAAACTYvMTEvMjAxOaeZyiddQNcIa0H8J11A1wgqQ0lRLk5BU0RBUUdTOlRUV08uSVFfVEVWLi4yMDE5LTA5LTIzLi4uVVNEAQAAAFGqBQACAAAACzEyMDcxLjQ3MTUyAQYAAAAFAAAAATEBAAAACjE5NzQzMDI0ODgDAAAAAzE2MAIAAAAGMTAwMDYwBAAAAAEwBwAAAAk5LzIzLzIwMTnnEMEnXUDXCHFoAyhdQNcIM0NJUS5UU0U6OTY4NC5JUV9SRVZFTlVFX0VTVC5DWTIwMTkuMjAxOS0wOS0yMy4uLlVTRAEAAACpfQ0AAgAAABAyNTEwLjQzNzkwNjcxODczAQ4AAAAFAAAAAjExAQAAAAEwAgAAAAg0NjgyNzMzNQMAAAAGMTAwMTgwBAAAAAI1NgYAAAABMAcAAAADMTYwCAAAAAEwCQAAAAExCgAAAAEwCwAAAAsxMTYwODgwODI5NQwAAAABNw0AAAAJOS8yNC8yMDE5EAAAAAk5LzIzLzIwMTnnEMEnXUDXCHFo</t>
  </si>
  <si>
    <t>AyhdQNcIMUNJUS5UU0U6MzY1OS5JUV9UT1RBTF9SRVYuQ1kyMDE4LjIwMTktMDktMjMuLi5VU0QBAAAAnh+CCAIAAAALMjMxMi41NDYxNDQBCAAAAAUAAAABMQEAAAAKMTk1MTg2NzkyOQMAAAADMTYwAgAAAAIyOAQAAAABMAcAAAAJOS8yMy8yMDE5CAAAAAoxMi8zMS8yMDE4CQAAAAEw5xDBJ11A1whrQfwnXUDXCC5DSVEuS09TRTpBMjUxMjcwLklRX0dQLkNZMjAxOC4yMDE5LTA5LTIzLi4uVVNEAQAAAFnuLwkCAAAACzE4MTUuNDM1NjE1AQgAAAAFAAAAATEBAAAACjE5NTA5MzY1MzgDAAAAAzE2MAIAAAACMTAEAAAAATAHAAAACTkvMjMvMjAxOQgAAAAKMTIvMzEvMjAxOAkAAAABMOcQwSddQNcIAwYBKF1A1wgwQ0lRLkVOWFRQQTpVQkkuSVFfRUJJVERBLkNZMjAxOC4yMDE5LTA5LTIzLi4uVVNEAQAAABl2DQACAAAACjU4My4wNDQ5OTcBCAAAAAUAAAABMQEAAAAKMTk2ODQ2MjkwMAMAAAADMTYwAgAAAAQ0MDUxBAAAAAEwBwAAAAk5LzIzLzIwMTkIAAAACjEyLzMxLzIwMTgJAAAAATDnEMEnXUDXCDbf+SddQNcIKUNJUS5UU0U6Nzk3NC5JUV9DTE9TRVBSSUNFLjIwMTYtMTEtMDguVVNEAQAAAKRdDQACAAAACjIzMi42MTU3MzgA5xDBJ11A1whxaAMoXUDXCClDSVEuVFNFOjc5NzQuSVFfQ0xPU0VQUklDRS4yMDE5LTA2LTA0LlVTRAEAAACkXQ0AAgAAAAkzNDcuNDg0OTkAp5nKJ11A1wgDBgEoXUDX</t>
  </si>
  <si>
    <t>CCxDSVEuVFNFOjc5NzQuSVFfVEVWX0VCSVREQS5JUV9MVE0uMjAxNy0wNi0xMwEAAACkXQ0AAgAAAAk1NC40NDE3NzIBBwAAAAUAAAABMQEAAAAKMTgzODIwNDA3NAMAAAABMAIAAAAGMTAwMDMwBAAAAAEwBwAAAAk2LzEzLzIwMTcIAAAACTYvMTMvMjAxN+cQwSddQNcIa0H8J11A1wgpQ0lRLlRTRTo3OTc0LklRX0NMT1NFUFJJQ0UuMjAxOC0xMC0wOS5VU0QBAAAApF0NAAIAAAAKMzU0Ljk1NDI0NwDnEMEnXUDXCHFoAyhdQNcILENJUS5UU0U6Nzk3NC5JUV9URVZfRUJJVERBLklRX0xUTS4yMDE3LTA5LTI2AQAAAKRdDQACAAAACTQ3LjMzOTc5MwEHAAAABQAAAAExAQAAAAoxODU0MDQzODg4AwAAAAEwAgAAAAYxMDAwMzAEAAAAATAHAAAACTkvMjYvMjAxNwgAAAAJOS8yNi8yMDE35xDBJ11A1wg23/knXUDXCCxDSVEuVFNFOjc5NzQuSVFfVEVWX0VCSVREQS5JUV9MVE0uMjAxNi0wNi0xNAEAAACkXQ0AAgAAAAkyMC45NDcyNzQBBwAAAAUAAAABMQEAAAAKMTc4NzkyNTg3NgMAAAABMAIAAAAGMTAwMDMwBAAAAAEwBwAAAAk2LzE0LzIwMTYIAAAACTYvMTQvMjAxNucQwSddQNcIa0H8J11A1wguQ0lRLk5BU0RBUUdTOkFUVkkuSVFfQ0xPU0VQUklDRS4yMDE5LTA5LTIzLlVTRAEAAAAXbUAAAgAAAAU1NC4xOADnEMEnXUDXCGLKBShdQNcINkNJUS5OQVNEQVFHUzpFQS5JUV9SRVZFTlVFX0VTVC5DWTIw</t>
  </si>
  <si>
    <t>MjIuMjAxOS0wOS0yMy4uLlVTRAEAAAA7bQAAAgAAAAk2MDMwLjE5MDgBDgAAAAUAAAACMTEBAAAAATACAAAACTI2OTA3NjIzMgMAAAAGMTAwMTgwBAAAAAEyBgAAAAEwBwAAAAMxNjAIAAAAATAJAAAAATEKAAAAATALAAAACzExNTk5MjYxMTg1DAAAAAE3DQAAAAk5LzI0LzIwMTkQAAAACTkvMjMvMjAxOecQwSddQNcIt6P+J11A1wghQ0lRLklRVFIyMzMzNzg0MzkuSVFfQ09NUEFOWV9OQU1FAQAAABo9PAEDAAAAIUd1bmdIbyBPbmxpbmUgRW50ZXJ0YWlubWVudCwgSW5jLgDnEMEnXUDXCGtB/CddQNcIKUNJUS5UU0U6Nzk3NC5JUV9DTE9TRVBSSUNFLjIwMTUtMTEtMTcuVVNEAQAAAKRdDQACAAAACjE1NS45MjA5MzgA5xDBJ11A1wi3o/4nXUDXCDZDSVEuTkFTREFRR1M6QVRWSS5JUV9UT1RBTF9SRVYuSVFfTFRNLjIwMTktMDktMjMuLi5VU0QBAAAAF21AAAIAAAAENzExMwEIAAAABQAAAAExAQAAAAoxOTc1MDM5MDUyAwAAAAMxNjACAAAAAjI4BAAAAAEwBwAAAAk5LzIzLzIwMTkIAAAACTYvMzAvMjAxOQkAAAABMOcQwSddQNcINt/5J11A1wgsQ0lRLlRTRTo3OTc0LklRX1RFVl9FQklUREEuSVFfTFRNLjIwMTgtMDUtMDgBAAAApF0NAAIAAAAJMjMuODIwOTM2AQcAAAAFAAAAATEBAAAACjE4ODQ4NjQ5NjQDAAAAATACAAAABjEwMDAzMAQAAAABMAcAAAAINS84LzIwMTgIAAAACDUvOC8yMDE45xDB</t>
  </si>
  <si>
    <t>J11A1wg23/knXUDXCA==</t>
  </si>
  <si>
    <t>Investment Presentation</t>
  </si>
  <si>
    <t>SEMPRA  INFRASTRUCTURE</t>
  </si>
  <si>
    <t>Investment Presentation Exhibits</t>
  </si>
  <si>
    <t>Cells with black text are formulas</t>
  </si>
  <si>
    <t>Instructions</t>
  </si>
  <si>
    <t>1. Fill out the Excel file</t>
  </si>
  <si>
    <t>The title and instructions sheets can remained untouched.</t>
  </si>
  <si>
    <t>The other sheets must be changed completely - all values are placeholders and all formulas must be tailored to the specific investment being presented. The Excel file is meant for formatting use only.</t>
  </si>
  <si>
    <t>Once the data in the other sheets has been added, review the excel workbook for any errors or misrepresentations.</t>
  </si>
  <si>
    <t>2. Fill out the PowerPoint file</t>
  </si>
  <si>
    <t>Replace logos, images, and excel workbook exhibits with updated and corrected information from the Excel file.</t>
  </si>
  <si>
    <t>Replace text and commentary with that specific to the investment being presented.</t>
  </si>
  <si>
    <t>Once completed, review all written and calculated text to ensure completeness and correctness.</t>
  </si>
  <si>
    <t>3. Review</t>
  </si>
  <si>
    <t>All work done should be reviewed, whether it be manual entry, formulas, or written text.</t>
  </si>
  <si>
    <t>Target Name</t>
  </si>
  <si>
    <t>Acquirer Name</t>
  </si>
  <si>
    <t>Date</t>
  </si>
  <si>
    <t>Size ($B)</t>
  </si>
  <si>
    <t>EV / EBITDA</t>
  </si>
  <si>
    <t xml:space="preserve">Dominion Gas Utilities </t>
  </si>
  <si>
    <t xml:space="preserve">Enbridge </t>
  </si>
  <si>
    <t>Source: S&amp;P Global. (n.d.). Capital IQ Pro. https://www.capitaliq.spglobal.com/web/client?auth=inherit#ratingsdirect/home</t>
  </si>
  <si>
    <t>SCANA</t>
  </si>
  <si>
    <t xml:space="preserve">Dominion Energy </t>
  </si>
  <si>
    <t xml:space="preserve">Spectra Energy </t>
  </si>
  <si>
    <t>Integrys Enegy Group</t>
  </si>
  <si>
    <t xml:space="preserve">Wisconsin Energy </t>
  </si>
  <si>
    <t>Precedents Average</t>
  </si>
  <si>
    <t>Sempra Energy</t>
  </si>
  <si>
    <t>Valuation Method</t>
  </si>
  <si>
    <t>Multiples</t>
  </si>
  <si>
    <t>Implied Equity Value</t>
  </si>
  <si>
    <t>Share Price</t>
  </si>
  <si>
    <t xml:space="preserve"> </t>
  </si>
  <si>
    <t>Min</t>
  </si>
  <si>
    <t>Median</t>
  </si>
  <si>
    <t>Max</t>
  </si>
  <si>
    <t>First</t>
  </si>
  <si>
    <t>Second</t>
  </si>
  <si>
    <t>Third</t>
  </si>
  <si>
    <t>Public Comps (EV / EBITDA)</t>
  </si>
  <si>
    <t>Public Comps (P / E)</t>
  </si>
  <si>
    <t>Precedents (EV/EBITDA)</t>
  </si>
  <si>
    <t>Public Comps EV/ REV</t>
  </si>
  <si>
    <t>3.7x</t>
  </si>
  <si>
    <t>4.3x</t>
  </si>
  <si>
    <t>6.2x</t>
  </si>
  <si>
    <t>DCF</t>
  </si>
  <si>
    <t>Average</t>
  </si>
  <si>
    <t>Company Name</t>
  </si>
  <si>
    <t>Market Cap ($M)</t>
  </si>
  <si>
    <t>Enterprise Value ($M)</t>
  </si>
  <si>
    <t>EV / EBIT</t>
  </si>
  <si>
    <t>P / BV</t>
  </si>
  <si>
    <t>P/E</t>
  </si>
  <si>
    <t>EV/REV LTM</t>
  </si>
  <si>
    <t>Dividend Yield %</t>
  </si>
  <si>
    <t>Net Debt / EBITDA</t>
  </si>
  <si>
    <t>2026E</t>
  </si>
  <si>
    <t>2027E</t>
  </si>
  <si>
    <t>LTM</t>
  </si>
  <si>
    <t>Xcel Energy Inc.</t>
  </si>
  <si>
    <t>Dominion Energy Inc.</t>
  </si>
  <si>
    <t>Eversource Energy</t>
  </si>
  <si>
    <t>NextEra Energy Inc.</t>
  </si>
  <si>
    <t>Edison International</t>
  </si>
  <si>
    <t>Entergy Corporation</t>
  </si>
  <si>
    <t>Mean</t>
  </si>
  <si>
    <t>Duke Energy Corporation</t>
  </si>
  <si>
    <t>Maximum</t>
  </si>
  <si>
    <t>PG&amp;E Corporation</t>
  </si>
  <si>
    <t>Sempra</t>
  </si>
  <si>
    <t>Minimum</t>
  </si>
  <si>
    <t xml:space="preserve">Valuation Method </t>
  </si>
  <si>
    <t>2026E Metric</t>
  </si>
  <si>
    <t>Multiple</t>
  </si>
  <si>
    <t>Implied Value $B</t>
  </si>
  <si>
    <t>P/E (Trailing - Net Income)</t>
  </si>
  <si>
    <t>EV/EBITDA (Trailling - EBITDA)</t>
  </si>
  <si>
    <t>EV/Revenue (Trailling - Revenue)</t>
  </si>
  <si>
    <t>Forward P/E (2026E - Net Income )</t>
  </si>
  <si>
    <t>Forward EV/EBITDA (2026E - EBITDA )</t>
  </si>
  <si>
    <t xml:space="preserve">Valuation Range </t>
  </si>
  <si>
    <t>$53-57.7B</t>
  </si>
  <si>
    <t>Operating Forecast</t>
  </si>
  <si>
    <t>2028E</t>
  </si>
  <si>
    <t>2029E</t>
  </si>
  <si>
    <t>2030E</t>
  </si>
  <si>
    <t>2031E</t>
  </si>
  <si>
    <t>2032E</t>
  </si>
  <si>
    <t>2033E</t>
  </si>
  <si>
    <t>2034E</t>
  </si>
  <si>
    <t>2035E</t>
  </si>
  <si>
    <t>WACC Build-Up</t>
  </si>
  <si>
    <t>Cost of Debt</t>
  </si>
  <si>
    <t>Revenue</t>
  </si>
  <si>
    <t>Tax Rate</t>
  </si>
  <si>
    <t>Growth</t>
  </si>
  <si>
    <t>Tax-Shielded Cost of Debt</t>
  </si>
  <si>
    <t>COGS</t>
  </si>
  <si>
    <t>Risk Free Rate</t>
  </si>
  <si>
    <t>Gross Profit</t>
  </si>
  <si>
    <t>Historical Market Return</t>
  </si>
  <si>
    <t>Market Risk Premium</t>
  </si>
  <si>
    <t>Operating Expenses</t>
  </si>
  <si>
    <t>EBITDA</t>
  </si>
  <si>
    <t>beta</t>
  </si>
  <si>
    <t>Margin</t>
  </si>
  <si>
    <t>Cost of Equity</t>
  </si>
  <si>
    <t>D&amp;A</t>
  </si>
  <si>
    <t>Debt / EV</t>
  </si>
  <si>
    <t>EBIT</t>
  </si>
  <si>
    <t>Equity / EV</t>
  </si>
  <si>
    <t>WACC</t>
  </si>
  <si>
    <t>Tax</t>
  </si>
  <si>
    <t>NOPAT</t>
  </si>
  <si>
    <t>Valuation</t>
  </si>
  <si>
    <t xml:space="preserve">Year </t>
  </si>
  <si>
    <t>PV of FCFF ($m)</t>
  </si>
  <si>
    <t>Capex</t>
  </si>
  <si>
    <t>Present Value of Future Cash Flows</t>
  </si>
  <si>
    <t>Acquisition Spend</t>
  </si>
  <si>
    <t>Change in NWC</t>
  </si>
  <si>
    <t>Terminal Year Unlevered FCF (Excl. M&amp;A)</t>
  </si>
  <si>
    <t>Long-Term Growth Rate</t>
  </si>
  <si>
    <t>Unlevered FCF</t>
  </si>
  <si>
    <t>Terminal Value</t>
  </si>
  <si>
    <t>PV OF FCF</t>
  </si>
  <si>
    <t>Sensitivity</t>
  </si>
  <si>
    <t>Present Value of Terminal Value</t>
  </si>
  <si>
    <t>Excess cash</t>
  </si>
  <si>
    <t xml:space="preserve">Marketable securities </t>
  </si>
  <si>
    <t xml:space="preserve">Non-consolidated subsidiaries </t>
  </si>
  <si>
    <t>Total Enterprise Value</t>
  </si>
  <si>
    <t>Net Debt</t>
  </si>
  <si>
    <t>Terminal CAGR</t>
  </si>
  <si>
    <t xml:space="preserve">Unfunded pension liabilities </t>
  </si>
  <si>
    <t>Preffered stock</t>
  </si>
  <si>
    <t xml:space="preserve">Shares Outstanding </t>
  </si>
  <si>
    <t>Implied Share Price</t>
  </si>
  <si>
    <t>Forecasted Revenue ($M)</t>
  </si>
  <si>
    <t>Targetted rate base cagr</t>
  </si>
  <si>
    <t>SENSITIVITY TO WACC</t>
  </si>
  <si>
    <t>BETAS</t>
  </si>
  <si>
    <t xml:space="preserve">DCF VALUE PER SHARE </t>
  </si>
  <si>
    <t>Comparables</t>
  </si>
  <si>
    <t>BETA</t>
  </si>
  <si>
    <t xml:space="preserve">unlevered </t>
  </si>
  <si>
    <t>sempra = 0.42</t>
  </si>
  <si>
    <t>SENSITIVITY TO TERMINAL GROWTH RATE</t>
  </si>
  <si>
    <t xml:space="preserve">TGR </t>
  </si>
  <si>
    <t xml:space="preserve">DUKE ENERGY </t>
  </si>
  <si>
    <t>SENSITIVITY TO CAGR 2026 -2030</t>
  </si>
  <si>
    <t xml:space="preserve">SENSITIVITY TO CAGR </t>
  </si>
  <si>
    <t xml:space="preserve">DCF CALUE PER SHARE </t>
  </si>
  <si>
    <t xml:space="preserve">sempra </t>
  </si>
  <si>
    <t xml:space="preserve">CARG 2025 - 2030 </t>
  </si>
  <si>
    <t>YOY Growth %</t>
  </si>
  <si>
    <t>Financial Forecast</t>
  </si>
  <si>
    <t>Historical Financials(Sempra)</t>
  </si>
  <si>
    <t>CAGR's</t>
  </si>
  <si>
    <t>'25-'27</t>
  </si>
  <si>
    <t>27-'30</t>
  </si>
  <si>
    <t>30'-'35</t>
  </si>
  <si>
    <t>2025A</t>
  </si>
  <si>
    <t>YoY Growth</t>
  </si>
  <si>
    <t xml:space="preserve">COGS </t>
  </si>
  <si>
    <t xml:space="preserve">Operating expenditures </t>
  </si>
  <si>
    <t>OpEx Excl. D&amp;A</t>
  </si>
  <si>
    <t>Note: R&amp;D</t>
  </si>
  <si>
    <t>EBITDA Margin</t>
  </si>
  <si>
    <t xml:space="preserve">EBIT </t>
  </si>
  <si>
    <t xml:space="preserve">YoY Growth </t>
  </si>
  <si>
    <t xml:space="preserve">TAX RATES </t>
  </si>
  <si>
    <t xml:space="preserve">Change in Nwc </t>
  </si>
  <si>
    <t>0.5% of change in Revenue</t>
  </si>
  <si>
    <t xml:space="preserve">CAPEX </t>
  </si>
  <si>
    <t>Interest Coverage Ratio</t>
  </si>
  <si>
    <t xml:space="preserve">YoY growth </t>
  </si>
  <si>
    <t>Net Debt to EBITDA</t>
  </si>
  <si>
    <t xml:space="preserve">CAPEX - D&amp;A </t>
  </si>
  <si>
    <t>RATE BASE</t>
  </si>
  <si>
    <t xml:space="preserve">Net Income </t>
  </si>
  <si>
    <t xml:space="preserve">REALISATION RATE </t>
  </si>
  <si>
    <t>NOPAT ($M)</t>
  </si>
  <si>
    <t xml:space="preserve">RATE BASE * REALISATION RATE </t>
  </si>
  <si>
    <t xml:space="preserve">WEIGHTINGS </t>
  </si>
  <si>
    <t>Stock Charts</t>
  </si>
  <si>
    <t>Sales by Segment</t>
  </si>
  <si>
    <t>Item </t>
  </si>
  <si>
    <t>2022A </t>
  </si>
  <si>
    <t>2023A </t>
  </si>
  <si>
    <t>2024A</t>
  </si>
  <si>
    <t>Revenue ($M) </t>
  </si>
  <si>
    <t>EBITDA ($M) </t>
  </si>
  <si>
    <t>EBITDA Margin (%) </t>
  </si>
  <si>
    <t>Operating Income ($M) </t>
  </si>
  <si>
    <t>Net Income ($M) </t>
  </si>
  <si>
    <t>NOPAT ($M) </t>
  </si>
  <si>
    <t>ROIC (%) </t>
  </si>
  <si>
    <t xml:space="preserve">ITEM </t>
  </si>
  <si>
    <t xml:space="preserve">2026E </t>
  </si>
  <si>
    <t xml:space="preserve">REVENUE GROWTH </t>
  </si>
  <si>
    <t xml:space="preserve">EBITDA MARGIN </t>
  </si>
  <si>
    <t>D&amp;A (% OF REVENUE)</t>
  </si>
  <si>
    <t xml:space="preserve">OPERATING MARGIN </t>
  </si>
  <si>
    <t>Share Price Data</t>
  </si>
  <si>
    <t xml:space="preserve">TAX RATE </t>
  </si>
  <si>
    <t>Price</t>
  </si>
  <si>
    <t>EV/EBITDA</t>
  </si>
  <si>
    <t>31/03/2016</t>
  </si>
  <si>
    <t>30/04/2016</t>
  </si>
  <si>
    <t>ITEM</t>
  </si>
  <si>
    <t>31/05/2016</t>
  </si>
  <si>
    <t xml:space="preserve">OPERATING CASH FLOW </t>
  </si>
  <si>
    <t>30/06/2016</t>
  </si>
  <si>
    <t>CAPEX</t>
  </si>
  <si>
    <t>31/07/2016</t>
  </si>
  <si>
    <t>FCF CONVERSION</t>
  </si>
  <si>
    <t>31/08/2016</t>
  </si>
  <si>
    <t>Currency</t>
  </si>
  <si>
    <t>USD</t>
  </si>
  <si>
    <t>30/09/2016</t>
  </si>
  <si>
    <t>Units</t>
  </si>
  <si>
    <t>Millions</t>
  </si>
  <si>
    <t>31/10/2016</t>
  </si>
  <si>
    <t>30/11/2016</t>
  </si>
  <si>
    <t>Operating current assets</t>
  </si>
  <si>
    <t>31/12/2016</t>
  </si>
  <si>
    <t>operating current liabiliteis</t>
  </si>
  <si>
    <t>31/01/2017</t>
  </si>
  <si>
    <t>Net PP&amp;E</t>
  </si>
  <si>
    <t>28/02/2017</t>
  </si>
  <si>
    <t>Operating non-current liabilities</t>
  </si>
  <si>
    <t>31/03/2017</t>
  </si>
  <si>
    <t>30/04/2017</t>
  </si>
  <si>
    <t>Invested capital</t>
  </si>
  <si>
    <t>31/05/2017</t>
  </si>
  <si>
    <t>30/06/2017</t>
  </si>
  <si>
    <t>Historical Revenue</t>
  </si>
  <si>
    <t>31/07/2017</t>
  </si>
  <si>
    <t>31/08/2017</t>
  </si>
  <si>
    <t>Year 2022</t>
  </si>
  <si>
    <t>Year 2023</t>
  </si>
  <si>
    <t>Year 2024</t>
  </si>
  <si>
    <t>Year 2025</t>
  </si>
  <si>
    <t>30/09/2017</t>
  </si>
  <si>
    <t>31/10/2017</t>
  </si>
  <si>
    <t>30/11/2017</t>
  </si>
  <si>
    <t>31/12/2017</t>
  </si>
  <si>
    <t>31/01/2018</t>
  </si>
  <si>
    <t>28/02/2018</t>
  </si>
  <si>
    <t>31/03/2018</t>
  </si>
  <si>
    <t>30/04/2018</t>
  </si>
  <si>
    <t>31/05/2018</t>
  </si>
  <si>
    <t>30/06/2018</t>
  </si>
  <si>
    <t>31/07/2018</t>
  </si>
  <si>
    <t>31/08/2018</t>
  </si>
  <si>
    <t>30/09/2018</t>
  </si>
  <si>
    <t>31/10/2018</t>
  </si>
  <si>
    <t>30/11/2018</t>
  </si>
  <si>
    <t>31/12/2018</t>
  </si>
  <si>
    <t>31/01/2019</t>
  </si>
  <si>
    <t>28/02/2019</t>
  </si>
  <si>
    <t>31/03/2019</t>
  </si>
  <si>
    <t>30/04/2019</t>
  </si>
  <si>
    <t>31/05/2019</t>
  </si>
  <si>
    <t>30/06/2019</t>
  </si>
  <si>
    <t>31/07/2019</t>
  </si>
  <si>
    <t>31/08/2019</t>
  </si>
  <si>
    <t>30/09/2019</t>
  </si>
  <si>
    <t>31/10/2019</t>
  </si>
  <si>
    <t>30/11/2019</t>
  </si>
  <si>
    <t>31/12/2019</t>
  </si>
  <si>
    <t>31/01/2020</t>
  </si>
  <si>
    <t>29/02/2020</t>
  </si>
  <si>
    <t>31/03/2020</t>
  </si>
  <si>
    <t>30/04/2020</t>
  </si>
  <si>
    <t>31/05/2020</t>
  </si>
  <si>
    <t>30/06/2020</t>
  </si>
  <si>
    <t>31/07/2020</t>
  </si>
  <si>
    <t>31/08/2020</t>
  </si>
  <si>
    <t>30/09/2020</t>
  </si>
  <si>
    <t>31/10/2020</t>
  </si>
  <si>
    <t>30/11/2020</t>
  </si>
  <si>
    <t>31/12/2020</t>
  </si>
  <si>
    <t>31/01/2021</t>
  </si>
  <si>
    <t>28/02/2021</t>
  </si>
  <si>
    <t>31/03/2021</t>
  </si>
  <si>
    <t>30/04/2021</t>
  </si>
  <si>
    <t>Value/share</t>
  </si>
  <si>
    <t>Weight</t>
  </si>
  <si>
    <t>31/05/2021</t>
  </si>
  <si>
    <t>DCF(Base Case)</t>
  </si>
  <si>
    <t>30/06/2021</t>
  </si>
  <si>
    <t>EV/EBITDA Comps (Median)</t>
  </si>
  <si>
    <t>31/07/2021</t>
  </si>
  <si>
    <t>EV/Revenue Comps (Median</t>
  </si>
  <si>
    <t>31/08/2021</t>
  </si>
  <si>
    <t>Precedent M&amp;A Analysis</t>
  </si>
  <si>
    <t>30/09/2021</t>
  </si>
  <si>
    <t>Weighted Average</t>
  </si>
  <si>
    <t>Terminal Value Calculation</t>
  </si>
  <si>
    <t>Revenue Build-up</t>
  </si>
  <si>
    <t>31/10/2021</t>
  </si>
  <si>
    <t>Margin of Safety</t>
  </si>
  <si>
    <t>30/11/2021</t>
  </si>
  <si>
    <t>Revenue Segment </t>
  </si>
  <si>
    <t>2026E Growth</t>
  </si>
  <si>
    <t>2027E Growth</t>
  </si>
  <si>
    <t>Notes </t>
  </si>
  <si>
    <t>31/12/2021</t>
  </si>
  <si>
    <t xml:space="preserve">OPERATING INCOME </t>
  </si>
  <si>
    <t>Sempra California </t>
  </si>
  <si>
    <t>6% </t>
  </si>
  <si>
    <t>Stable market, strong capex investment </t>
  </si>
  <si>
    <t>31/01/2022</t>
  </si>
  <si>
    <t>Sempra Texas </t>
  </si>
  <si>
    <t>15.2% </t>
  </si>
  <si>
    <t>17% </t>
  </si>
  <si>
    <t>Growing customer base, major investment plan, growing rate base </t>
  </si>
  <si>
    <t>28/02/2022</t>
  </si>
  <si>
    <r>
      <t>Item</t>
    </r>
    <r>
      <rPr>
        <sz val="12"/>
        <rFont val="Times New Roman"/>
        <family val="1"/>
      </rPr>
      <t> </t>
    </r>
  </si>
  <si>
    <r>
      <t>Value</t>
    </r>
    <r>
      <rPr>
        <sz val="12"/>
        <rFont val="Times New Roman"/>
        <family val="1"/>
      </rPr>
      <t> </t>
    </r>
  </si>
  <si>
    <t>Total Revenue </t>
  </si>
  <si>
    <t>10.2% </t>
  </si>
  <si>
    <t>11% </t>
  </si>
  <si>
    <t>31/03/2022</t>
  </si>
  <si>
    <r>
      <t>Rating</t>
    </r>
    <r>
      <rPr>
        <sz val="12"/>
        <rFont val="Times New Roman"/>
        <family val="1"/>
      </rPr>
      <t> </t>
    </r>
  </si>
  <si>
    <r>
      <t>HOLD</t>
    </r>
    <r>
      <rPr>
        <sz val="12"/>
        <rFont val="Times New Roman"/>
        <family val="1"/>
      </rPr>
      <t> </t>
    </r>
  </si>
  <si>
    <t>ADD: D&amp;A</t>
  </si>
  <si>
    <t>30/04/2022</t>
  </si>
  <si>
    <r>
      <t>Price Target (12 months)</t>
    </r>
    <r>
      <rPr>
        <sz val="12"/>
        <rFont val="Times New Roman"/>
        <family val="1"/>
      </rPr>
      <t> </t>
    </r>
  </si>
  <si>
    <t>$82.79</t>
  </si>
  <si>
    <t>LESS CAPEX</t>
  </si>
  <si>
    <t>31/05/2022</t>
  </si>
  <si>
    <r>
      <t>Current Price (as of 09/03/2026)</t>
    </r>
    <r>
      <rPr>
        <sz val="12"/>
        <rFont val="Times New Roman"/>
        <family val="1"/>
      </rPr>
      <t> </t>
    </r>
  </si>
  <si>
    <t>$91.56</t>
  </si>
  <si>
    <t>LESS NWC</t>
  </si>
  <si>
    <t>30/06/2022</t>
  </si>
  <si>
    <r>
      <t>Downside Potential</t>
    </r>
    <r>
      <rPr>
        <sz val="12"/>
        <rFont val="Times New Roman"/>
        <family val="1"/>
      </rPr>
      <t> </t>
    </r>
  </si>
  <si>
    <t xml:space="preserve">FREE CASH FLOW </t>
  </si>
  <si>
    <t>31/07/2022</t>
  </si>
  <si>
    <r>
      <t>Risk Rating</t>
    </r>
    <r>
      <rPr>
        <sz val="12"/>
        <rFont val="Times New Roman"/>
        <family val="1"/>
      </rPr>
      <t> </t>
    </r>
  </si>
  <si>
    <r>
      <t>Medium </t>
    </r>
    <r>
      <rPr>
        <sz val="12"/>
        <rFont val="Times New Roman"/>
        <family val="1"/>
      </rPr>
      <t> </t>
    </r>
  </si>
  <si>
    <t>31/08/2022</t>
  </si>
  <si>
    <t>30/09/2022</t>
  </si>
  <si>
    <t>31/10/2022</t>
  </si>
  <si>
    <t>30/11/2022</t>
  </si>
  <si>
    <t>31/12/2022</t>
  </si>
  <si>
    <t>31/01/2023</t>
  </si>
  <si>
    <t>28/02/2023</t>
  </si>
  <si>
    <t>31/03/2023</t>
  </si>
  <si>
    <t>30/04/2023</t>
  </si>
  <si>
    <t>31/05/2023</t>
  </si>
  <si>
    <t xml:space="preserve">VALUE </t>
  </si>
  <si>
    <t>30/06/2023</t>
  </si>
  <si>
    <t xml:space="preserve">2035 FCFF(,000) </t>
  </si>
  <si>
    <t>31/07/2023</t>
  </si>
  <si>
    <t xml:space="preserve">TERMINAL GROTH RATE </t>
  </si>
  <si>
    <t>31/08/2023</t>
  </si>
  <si>
    <t>Scenario </t>
  </si>
  <si>
    <t>BULL </t>
  </si>
  <si>
    <t>BASE </t>
  </si>
  <si>
    <t>BEAR </t>
  </si>
  <si>
    <t>30/09/2023</t>
  </si>
  <si>
    <t>Probability </t>
  </si>
  <si>
    <t>25% </t>
  </si>
  <si>
    <t>50% </t>
  </si>
  <si>
    <t xml:space="preserve">TERMINAL VALUE </t>
  </si>
  <si>
    <t>31/10/2023</t>
  </si>
  <si>
    <t>Revenue CAGR 2026 - 2035 </t>
  </si>
  <si>
    <t>9.5% </t>
  </si>
  <si>
    <t>8.75% </t>
  </si>
  <si>
    <t>8.2% </t>
  </si>
  <si>
    <t>30/11/2023</t>
  </si>
  <si>
    <t>2035E EBITDA Margin </t>
  </si>
  <si>
    <t>66% </t>
  </si>
  <si>
    <t>63.9% </t>
  </si>
  <si>
    <t>62.2% </t>
  </si>
  <si>
    <t>31/12/2023</t>
  </si>
  <si>
    <t>WACC </t>
  </si>
  <si>
    <t>5% </t>
  </si>
  <si>
    <t>5.2% </t>
  </si>
  <si>
    <t>5.7% </t>
  </si>
  <si>
    <t>31/01/2024</t>
  </si>
  <si>
    <t>Terminal Growth </t>
  </si>
  <si>
    <t>2.5% </t>
  </si>
  <si>
    <t>2.3% </t>
  </si>
  <si>
    <t>2% </t>
  </si>
  <si>
    <t>FCFF</t>
  </si>
  <si>
    <t>DISCOUNT FACTOR</t>
  </si>
  <si>
    <t xml:space="preserve">PV OF FCFF </t>
  </si>
  <si>
    <t>29/02/2024</t>
  </si>
  <si>
    <t>DCF Value/Share </t>
  </si>
  <si>
    <t>$150.7 </t>
  </si>
  <si>
    <t>$95.5 </t>
  </si>
  <si>
    <t>$40.8 </t>
  </si>
  <si>
    <t>31/03/2024</t>
  </si>
  <si>
    <t>Upside/Downside vs. PT </t>
  </si>
  <si>
    <t>+57.8% </t>
  </si>
  <si>
    <t>Base </t>
  </si>
  <si>
    <t>-57.3% </t>
  </si>
  <si>
    <t>30/04/2024</t>
  </si>
  <si>
    <t>Item</t>
  </si>
  <si>
    <t>Value</t>
  </si>
  <si>
    <t>31/05/2024</t>
  </si>
  <si>
    <t>2035E EBITDA ($M)</t>
  </si>
  <si>
    <t>30/06/2024</t>
  </si>
  <si>
    <t>Exit EV/EBITDA Multiple (x)</t>
  </si>
  <si>
    <t>31/07/2024</t>
  </si>
  <si>
    <t>Valuation Method  </t>
  </si>
  <si>
    <t>2026E Metric </t>
  </si>
  <si>
    <t>Multiple </t>
  </si>
  <si>
    <t>Implied Value $B </t>
  </si>
  <si>
    <t xml:space="preserve">Terminal Value </t>
  </si>
  <si>
    <t>31/08/2024</t>
  </si>
  <si>
    <t>P/E (Trailing) </t>
  </si>
  <si>
    <t>2,072 (Net Income)  </t>
  </si>
  <si>
    <t>17.0x  </t>
  </si>
  <si>
    <t>$35.3 </t>
  </si>
  <si>
    <t>PV of Terminal Value</t>
  </si>
  <si>
    <t>30/09/2024</t>
  </si>
  <si>
    <t>EV/EBITDA (Trailing) </t>
  </si>
  <si>
    <t>4,689 (EBITDA) </t>
  </si>
  <si>
    <t>11.3x  </t>
  </si>
  <si>
    <t>$53.0 </t>
  </si>
  <si>
    <t>31/10/2024</t>
  </si>
  <si>
    <t>EV/Revenue (Trailing) </t>
  </si>
  <si>
    <t>11,871 (Revenue) </t>
  </si>
  <si>
    <t>5.0x  </t>
  </si>
  <si>
    <t>$59.9 </t>
  </si>
  <si>
    <t>30/11/2024</t>
  </si>
  <si>
    <t>Forward P/E (2026E) </t>
  </si>
  <si>
    <t>2,300 (NI) </t>
  </si>
  <si>
    <t>16.9x  </t>
  </si>
  <si>
    <t>$38.8 </t>
  </si>
  <si>
    <t>31/12/2024</t>
  </si>
  <si>
    <t>Forward EV/EBITDA (2026E) </t>
  </si>
  <si>
    <t>5,065 (EBITDA) </t>
  </si>
  <si>
    <t>11.1x  </t>
  </si>
  <si>
    <t>$56.2 </t>
  </si>
  <si>
    <t>SUM OF FCFF</t>
  </si>
  <si>
    <t>31/01/2025</t>
  </si>
  <si>
    <t>  </t>
  </si>
  <si>
    <t>Valuation Range  </t>
  </si>
  <si>
    <t>$54-59B </t>
  </si>
  <si>
    <t>28/02/2025</t>
  </si>
  <si>
    <t>PV OF TERMINAL VALUE</t>
  </si>
  <si>
    <t>31/03/2025</t>
  </si>
  <si>
    <t>30/04/2025</t>
  </si>
  <si>
    <t>31/05/2025</t>
  </si>
  <si>
    <t>30/06/2025</t>
  </si>
  <si>
    <t>31/07/2025</t>
  </si>
  <si>
    <t xml:space="preserve">ENTERPRISE VALUE </t>
  </si>
  <si>
    <t>31/08/2025</t>
  </si>
  <si>
    <t>30/09/2025</t>
  </si>
  <si>
    <t>31/10/2025</t>
  </si>
  <si>
    <t>30/11/2025</t>
  </si>
  <si>
    <t>31/12/2025</t>
  </si>
  <si>
    <t>31/01/2026</t>
  </si>
  <si>
    <t>28/02/2026</t>
  </si>
  <si>
    <t>31/03/2026</t>
  </si>
  <si>
    <t xml:space="preserve">Excess cash &amp; marketable securities </t>
  </si>
  <si>
    <t>Share price</t>
  </si>
  <si>
    <t xml:space="preserve">EV/EBITDA </t>
  </si>
  <si>
    <t>EV/Revenue</t>
  </si>
  <si>
    <t>Precedent M&amp;A</t>
  </si>
  <si>
    <t xml:space="preserve">DEBT </t>
  </si>
  <si>
    <t xml:space="preserve">EQUITY </t>
  </si>
  <si>
    <t>EV</t>
  </si>
  <si>
    <t xml:space="preserve">Metric </t>
  </si>
  <si>
    <t xml:space="preserve">Typical allowed return </t>
  </si>
  <si>
    <t xml:space="preserve">Base Rate Growth </t>
  </si>
  <si>
    <t xml:space="preserve">Projected Revenue </t>
  </si>
  <si>
    <t xml:space="preserve">Allowed Return </t>
  </si>
  <si>
    <t xml:space="preserve">Realisation factor </t>
  </si>
  <si>
    <t xml:space="preserve">YOY CHANGE </t>
  </si>
  <si>
    <t>Final 5 Year Capex Decline</t>
  </si>
  <si>
    <t>Year</t>
  </si>
  <si>
    <t xml:space="preserve">Effective Tax Rate </t>
  </si>
  <si>
    <t xml:space="preserve">Tax Per Year </t>
  </si>
  <si>
    <t xml:space="preserve">Statutory tax rate </t>
  </si>
  <si>
    <t xml:space="preserve">Net income california </t>
  </si>
  <si>
    <t xml:space="preserve">Net income texas </t>
  </si>
  <si>
    <t>Total  net income</t>
  </si>
  <si>
    <t>Weight california</t>
  </si>
  <si>
    <t xml:space="preserve">Weight texas </t>
  </si>
  <si>
    <t xml:space="preserve">California corporate tax rate </t>
  </si>
  <si>
    <t xml:space="preserve">Texas Effective Franchise Equivalent </t>
  </si>
  <si>
    <t>Weighted state tax</t>
  </si>
  <si>
    <t>Marginal corporate tax</t>
  </si>
  <si>
    <t xml:space="preserve">Difference between Marginal and avg effective </t>
  </si>
  <si>
    <t xml:space="preserve">diffence 10 year period </t>
  </si>
  <si>
    <t>DETECTING MOMENTUM</t>
  </si>
  <si>
    <t>USING THE WINDSHIELD INSTEAD OF THE REARVIEW MIRROR</t>
  </si>
  <si>
    <t>RETURN ON NEW EQUITY (CHANGE IN INCOME / CHANGE IN BOOK EQUITY )</t>
  </si>
  <si>
    <t>RETURN ON EQUITY</t>
  </si>
  <si>
    <t>NET INC</t>
  </si>
  <si>
    <t>BOOK E</t>
  </si>
  <si>
    <t xml:space="preserve">CHANGE IN NET INCOME </t>
  </si>
  <si>
    <t>CHANGE IN BOOK E</t>
  </si>
  <si>
    <t>RETURN ON NEW EQUITY HAS BEEN SIGNIFICANTLY THAN AVERAGE RETURN ON EQUITY</t>
  </si>
  <si>
    <t xml:space="preserve">SIGNALLING UPWARD TREND. </t>
  </si>
  <si>
    <t xml:space="preserve">change in revenues </t>
  </si>
  <si>
    <t>In Millions of the reported currency.</t>
  </si>
  <si>
    <t>Business Segments</t>
  </si>
  <si>
    <t xml:space="preserve">For the Fiscal Period Ending
</t>
  </si>
  <si>
    <t>Reclassified
12 months
Dec-31-2015</t>
  </si>
  <si>
    <t>Reclassified
12 months
Dec-31-2016</t>
  </si>
  <si>
    <t>Reclassified
12 months
Dec-31-2017</t>
  </si>
  <si>
    <t>Reclassified
12 months
Dec-31-2018</t>
  </si>
  <si>
    <t>12 months
Dec-31-2019</t>
  </si>
  <si>
    <t>Reclassified
12 months
Dec-31-2020</t>
  </si>
  <si>
    <t>Reclassified
12 months
Dec-31-2021</t>
  </si>
  <si>
    <t>12 months
Dec-31-2022</t>
  </si>
  <si>
    <t>Reclassified
12 months
Dec-31-2023</t>
  </si>
  <si>
    <t>12 months
Dec-31-2024</t>
  </si>
  <si>
    <t>Revenues</t>
  </si>
  <si>
    <t>Sempra Infrastructure</t>
  </si>
  <si>
    <t>-</t>
  </si>
  <si>
    <t>Sempra California</t>
  </si>
  <si>
    <t>Unallocated Adjustments</t>
  </si>
  <si>
    <t>Intersegment Eliminations</t>
  </si>
  <si>
    <t>All Other</t>
  </si>
  <si>
    <t>Year 2015</t>
  </si>
  <si>
    <t>Year 2016</t>
  </si>
  <si>
    <t>Year 2017</t>
  </si>
  <si>
    <t>Year 2018</t>
  </si>
  <si>
    <t>Year 2019</t>
  </si>
  <si>
    <t>Year 2020</t>
  </si>
  <si>
    <t>Year 2021</t>
  </si>
  <si>
    <t>SAN Diego Gas &amp; Electric Company (SDG&amp;E)</t>
  </si>
  <si>
    <t>Utilities</t>
  </si>
  <si>
    <t>Southern California Gas Company (Socalgas)</t>
  </si>
  <si>
    <t>Infrastructure</t>
  </si>
  <si>
    <t>Sempra Renewables</t>
  </si>
  <si>
    <t>Non-core</t>
  </si>
  <si>
    <t>Sempra Mexico</t>
  </si>
  <si>
    <t>All other</t>
  </si>
  <si>
    <t>Sempra LNG</t>
  </si>
  <si>
    <t>Sempra South American Utilities</t>
  </si>
  <si>
    <t xml:space="preserve">  Total Revenues</t>
  </si>
  <si>
    <t>Interest Expense</t>
  </si>
  <si>
    <t xml:space="preserve">  Total Interest Expense</t>
  </si>
  <si>
    <t>Tax Expense</t>
  </si>
  <si>
    <t>Sempra Texas Utilities</t>
  </si>
  <si>
    <t xml:space="preserve">  Total Tax Expense</t>
  </si>
  <si>
    <t>Net Profit After Tax</t>
  </si>
  <si>
    <t>Parent &amp; Other</t>
  </si>
  <si>
    <t>Discontinued Operations</t>
  </si>
  <si>
    <t>Sempra South American Utilities - Discontinued Operations</t>
  </si>
  <si>
    <t xml:space="preserve">  Total Net Profit After Tax</t>
  </si>
  <si>
    <t>Assets</t>
  </si>
  <si>
    <t xml:space="preserve">  Total Assets</t>
  </si>
  <si>
    <t>Depreciation &amp; Amortization</t>
  </si>
  <si>
    <t xml:space="preserve">  Total Depreciation &amp; Amortization</t>
  </si>
  <si>
    <t>Capital Expenditure</t>
  </si>
  <si>
    <t xml:space="preserve">  Total Capital Expenditure</t>
  </si>
  <si>
    <t>Filing Date</t>
  </si>
  <si>
    <t>Geographic Segments</t>
  </si>
  <si>
    <t>United States</t>
  </si>
  <si>
    <t>Mexico</t>
  </si>
  <si>
    <t>South America</t>
  </si>
  <si>
    <t>Rest of The World</t>
  </si>
  <si>
    <t>Asia</t>
  </si>
  <si>
    <t xml:space="preserve">
               </t>
  </si>
  <si>
    <t>2020A</t>
  </si>
  <si>
    <t>2021A</t>
  </si>
  <si>
    <t>2022A</t>
  </si>
  <si>
    <t>2023A</t>
  </si>
  <si>
    <t>CAGR</t>
  </si>
  <si>
    <t>000s</t>
  </si>
  <si>
    <t>Utilities_rev</t>
  </si>
  <si>
    <t>SIP_Rev</t>
  </si>
  <si>
    <t>revenue without SIP</t>
  </si>
  <si>
    <t xml:space="preserve">Utilities weight </t>
  </si>
  <si>
    <t>Gross Margin</t>
  </si>
  <si>
    <t>UTI_EBITDA</t>
  </si>
  <si>
    <t>SIP_EBITDA</t>
  </si>
  <si>
    <t>d&amp;a without SIP</t>
  </si>
  <si>
    <t>Utilities_DA</t>
  </si>
  <si>
    <t>SIP_DA</t>
  </si>
  <si>
    <t>Uti_Ebit</t>
  </si>
  <si>
    <t xml:space="preserve">SIP_EBIT </t>
  </si>
  <si>
    <t>Capex_UTI</t>
  </si>
  <si>
    <t>Capex_sip</t>
  </si>
  <si>
    <t>capex without sip</t>
  </si>
  <si>
    <t>Sempra | Segment Analysis</t>
  </si>
  <si>
    <t>NYSE: SRE (MI KEY: 4057062; SPCIQ KEY: 120622)</t>
  </si>
  <si>
    <t>Source: Recommended</t>
  </si>
  <si>
    <t>Period Category: Fiscal</t>
  </si>
  <si>
    <t>Period Type: Years</t>
  </si>
  <si>
    <t>Reporting Basis: Current/Restated</t>
  </si>
  <si>
    <t>Sort Order: Latest on Right</t>
  </si>
  <si>
    <t>Currency: U.S. Dollar (USD)</t>
  </si>
  <si>
    <t>Magnitude: Thousands (K)</t>
  </si>
  <si>
    <t>Financials</t>
  </si>
  <si>
    <t>Line of Business Data</t>
  </si>
  <si>
    <t>Recommended: S&amp;P Capital IQ - Standard</t>
  </si>
  <si>
    <t xml:space="preserve">2020 FY  </t>
  </si>
  <si>
    <t xml:space="preserve">2021 FY  </t>
  </si>
  <si>
    <t xml:space="preserve">2022 FY  </t>
  </si>
  <si>
    <t xml:space="preserve">2023 FY  </t>
  </si>
  <si>
    <t xml:space="preserve">2024 FY  </t>
  </si>
  <si>
    <t>Period Ended</t>
  </si>
  <si>
    <t>Reported Currency Code</t>
  </si>
  <si>
    <t>Total Revenue ($000)</t>
  </si>
  <si>
    <t>NA</t>
  </si>
  <si>
    <t>Segment Adjustment</t>
  </si>
  <si>
    <t xml:space="preserve">     SubTotal - Business Segments</t>
  </si>
  <si>
    <t>Interest Expense ($000)</t>
  </si>
  <si>
    <t>Income Tax Expense ($000)</t>
  </si>
  <si>
    <t>Net Income ($000)</t>
  </si>
  <si>
    <t>Total Assets ($000)</t>
  </si>
  <si>
    <t>Depreciation &amp; Amort. ($000)</t>
  </si>
  <si>
    <t>Capital Expenditure ($000)</t>
  </si>
  <si>
    <t>Geographic Data</t>
  </si>
  <si>
    <t xml:space="preserve">     SubTotal - Geographic Segments</t>
  </si>
  <si>
    <t>Segments</t>
  </si>
  <si>
    <t>Note: S&amp;P Global Market Intelligence uses a variety of sources to retrieve financial information for each company we cover.  For Energy companies, S&amp;P Global Market Intelligence mines data from documents filed by the company, surveys, and other sources of public information.</t>
  </si>
  <si>
    <t>Sempra | Balance Sheet (As Reported)</t>
  </si>
  <si>
    <t>2021 FY</t>
  </si>
  <si>
    <t>2022 FY</t>
  </si>
  <si>
    <t>2023 FY</t>
  </si>
  <si>
    <t>2024 FY</t>
  </si>
  <si>
    <t>2025 FY</t>
  </si>
  <si>
    <t>Current Assets</t>
  </si>
  <si>
    <t>Cash and Cash Equivalents</t>
  </si>
  <si>
    <t>Accounts Receivable Trade</t>
  </si>
  <si>
    <t>Accounts Receivable-other, net</t>
  </si>
  <si>
    <t>Incomes Taxes Receivable</t>
  </si>
  <si>
    <t>Due from Unconsolidated Affiliates</t>
  </si>
  <si>
    <t>Inventories</t>
  </si>
  <si>
    <t>Prepaid Expenses</t>
  </si>
  <si>
    <t>Restricted Cash</t>
  </si>
  <si>
    <t>Asset Held for Sale</t>
  </si>
  <si>
    <t>Other Current Assets</t>
  </si>
  <si>
    <t>Fixed Price Contracts and Other Derivatives</t>
  </si>
  <si>
    <t>Regulatory Assets</t>
  </si>
  <si>
    <t>Greenhouse Gas Allowances</t>
  </si>
  <si>
    <t>Total Current Assets</t>
  </si>
  <si>
    <t>Noncurrent Assets</t>
  </si>
  <si>
    <t>Right of Use Assets - Operating Leases</t>
  </si>
  <si>
    <t>Accumulated Depreciation</t>
  </si>
  <si>
    <t>Gross Property Plant and Equipment</t>
  </si>
  <si>
    <t>Investment in Oncor Holdings</t>
  </si>
  <si>
    <t>Other Investments</t>
  </si>
  <si>
    <t>Deferred Income Taxes</t>
  </si>
  <si>
    <t>Insurance Receivable for Aliso Canyon Costs</t>
  </si>
  <si>
    <t>Goodwill</t>
  </si>
  <si>
    <t>Other Intangible Assets</t>
  </si>
  <si>
    <t>Nuclear Decommissioning Trusts</t>
  </si>
  <si>
    <t>Other Assets</t>
  </si>
  <si>
    <t>Dedicated Assets in Support of Certain Benefit Plans</t>
  </si>
  <si>
    <t>Wildfire Fund</t>
  </si>
  <si>
    <t>Total Assets</t>
  </si>
  <si>
    <t>Current Liabilities</t>
  </si>
  <si>
    <t>Accounts Payable</t>
  </si>
  <si>
    <t>Accrued Compensation and Benefits</t>
  </si>
  <si>
    <t>Short-term Debts</t>
  </si>
  <si>
    <t>Current Portion of Long-term Debt and Finance Leases</t>
  </si>
  <si>
    <t>Accounts Payable - Other</t>
  </si>
  <si>
    <t>Other Current Liabilities</t>
  </si>
  <si>
    <t>Dividends and Interest Payable</t>
  </si>
  <si>
    <t>Regulatory Liabilities</t>
  </si>
  <si>
    <t>Due to Unconsolidated Affiliate</t>
  </si>
  <si>
    <t>Trading Liabilities</t>
  </si>
  <si>
    <t>Reserve for Aliso Canyon Costs</t>
  </si>
  <si>
    <t>Greenhouse Gas Obligations</t>
  </si>
  <si>
    <t>Total Current Liabilities</t>
  </si>
  <si>
    <t>Noncurrent Liabilities</t>
  </si>
  <si>
    <t>Long-term Debt and Finance Leases</t>
  </si>
  <si>
    <t>Pension and Other Postretirement Benefit Obligations, Net of Plan Assets</t>
  </si>
  <si>
    <t>Preferred Stock of Subsidiary</t>
  </si>
  <si>
    <t>Minority Interest</t>
  </si>
  <si>
    <t>Contingently Redeemable Noncontrolling Interest</t>
  </si>
  <si>
    <t>Preferred Stock Redeemable</t>
  </si>
  <si>
    <t>Deferred Credits and Other Liabilities</t>
  </si>
  <si>
    <t>Asset Retirement Obligations</t>
  </si>
  <si>
    <t>Shareholders' Equity</t>
  </si>
  <si>
    <t>Common Stock - Par Value</t>
  </si>
  <si>
    <t>Retained Earnings</t>
  </si>
  <si>
    <t>Accumulated Other Comprehensive Income (Loss)</t>
  </si>
  <si>
    <t>Total Shareholders Equity</t>
  </si>
  <si>
    <t>Total Liabilities &amp; Shareholders Equity</t>
  </si>
  <si>
    <t>Data shown on this page is extracted directly from the company’s documents. S&amp;P Global Market Intelligence makes every effort to line up fields, captions and headers that represent the same data over time, despite variations in how the company may report these items in different documents. In certain instances the variation in the company’s presentation over time may be too significant, potentially resulting in repeating and/or disordered items. Despite possible issues with the presentation, S&amp;P Global Market Intelligence, as always, stands by its commitment to the quality of the data.</t>
  </si>
  <si>
    <t>Sempra | Multiples</t>
  </si>
  <si>
    <t>Source: S&amp;P Capital IQ - Standard</t>
  </si>
  <si>
    <t>Dilution: Basic</t>
  </si>
  <si>
    <t>Period Type: Months</t>
  </si>
  <si>
    <t>S&amp;P Capital IQ - Standard</t>
  </si>
  <si>
    <t>Jan-30-2015</t>
  </si>
  <si>
    <t>Feb-27-2015</t>
  </si>
  <si>
    <t>Mar-31-2015</t>
  </si>
  <si>
    <t>Apr-30-2015</t>
  </si>
  <si>
    <t>May-29-2015</t>
  </si>
  <si>
    <t>Jun-30-2015</t>
  </si>
  <si>
    <t>Jul-31-2015</t>
  </si>
  <si>
    <t>Aug-31-2015</t>
  </si>
  <si>
    <t>Sep-30-2015</t>
  </si>
  <si>
    <t>Oct-30-2015</t>
  </si>
  <si>
    <t>Nov-30-2015</t>
  </si>
  <si>
    <t>Dec-31-2015</t>
  </si>
  <si>
    <t>Jan-29-2016</t>
  </si>
  <si>
    <t>Feb-29-2016</t>
  </si>
  <si>
    <t>Mar-31-2016</t>
  </si>
  <si>
    <t>Apr-29-2016</t>
  </si>
  <si>
    <t>May-31-2016</t>
  </si>
  <si>
    <t>Jun-30-2016</t>
  </si>
  <si>
    <t>Jul-29-2016</t>
  </si>
  <si>
    <t>Aug-31-2016</t>
  </si>
  <si>
    <t>Sep-30-2016</t>
  </si>
  <si>
    <t>Oct-31-2016</t>
  </si>
  <si>
    <t>Nov-30-2016</t>
  </si>
  <si>
    <t>Dec-30-2016</t>
  </si>
  <si>
    <t>Jan-31-2017</t>
  </si>
  <si>
    <t>Feb-28-2017</t>
  </si>
  <si>
    <t>Mar-31-2017</t>
  </si>
  <si>
    <t>Apr-28-2017</t>
  </si>
  <si>
    <t>May-31-2017</t>
  </si>
  <si>
    <t>Jun-30-2017</t>
  </si>
  <si>
    <t>Jul-31-2017</t>
  </si>
  <si>
    <t>Aug-31-2017</t>
  </si>
  <si>
    <t>Sep-29-2017</t>
  </si>
  <si>
    <t>Oct-31-2017</t>
  </si>
  <si>
    <t>Nov-30-2017</t>
  </si>
  <si>
    <t>Dec-29-2017</t>
  </si>
  <si>
    <t>Jan-31-2018</t>
  </si>
  <si>
    <t>Feb-28-2018</t>
  </si>
  <si>
    <t>Mar-29-2018</t>
  </si>
  <si>
    <t>Apr-30-2018</t>
  </si>
  <si>
    <t>May-31-2018</t>
  </si>
  <si>
    <t>Jun-29-2018</t>
  </si>
  <si>
    <t>Jul-31-2018</t>
  </si>
  <si>
    <t>Aug-31-2018</t>
  </si>
  <si>
    <t>Sep-28-2018</t>
  </si>
  <si>
    <t>Oct-31-2018</t>
  </si>
  <si>
    <t>Nov-30-2018</t>
  </si>
  <si>
    <t>Dec-31-2018</t>
  </si>
  <si>
    <t>Jan-31-2019</t>
  </si>
  <si>
    <t>Feb-28-2019</t>
  </si>
  <si>
    <t>Mar-29-2019</t>
  </si>
  <si>
    <t>Apr-30-2019</t>
  </si>
  <si>
    <t>May-31-2019</t>
  </si>
  <si>
    <t>Jun-28-2019</t>
  </si>
  <si>
    <t>Jul-31-2019</t>
  </si>
  <si>
    <t>Aug-30-2019</t>
  </si>
  <si>
    <t>Sep-30-2019</t>
  </si>
  <si>
    <t>Oct-31-2019</t>
  </si>
  <si>
    <t>Nov-29-2019</t>
  </si>
  <si>
    <t>Dec-31-2019</t>
  </si>
  <si>
    <t>Jan-31-2020</t>
  </si>
  <si>
    <t>Feb-28-2020</t>
  </si>
  <si>
    <t>Mar-31-2020</t>
  </si>
  <si>
    <t>Apr-30-2020</t>
  </si>
  <si>
    <t>May-29-2020</t>
  </si>
  <si>
    <t>Jun-30-2020</t>
  </si>
  <si>
    <t>Jul-31-2020</t>
  </si>
  <si>
    <t>Aug-31-2020</t>
  </si>
  <si>
    <t>Sep-30-2020</t>
  </si>
  <si>
    <t>Oct-30-2020</t>
  </si>
  <si>
    <t>Nov-30-2020</t>
  </si>
  <si>
    <t>Dec-31-2020</t>
  </si>
  <si>
    <t>Jan-29-2021</t>
  </si>
  <si>
    <t>Feb-26-2021</t>
  </si>
  <si>
    <t>Mar-31-2021</t>
  </si>
  <si>
    <t>Apr-30-2021</t>
  </si>
  <si>
    <t>May-28-2021</t>
  </si>
  <si>
    <t>Jun-30-2021</t>
  </si>
  <si>
    <t>Jul-30-2021</t>
  </si>
  <si>
    <t>Aug-31-2021</t>
  </si>
  <si>
    <t>Sep-30-2021</t>
  </si>
  <si>
    <t>Oct-29-2021</t>
  </si>
  <si>
    <t>Nov-30-2021</t>
  </si>
  <si>
    <t>Dec-31-2021</t>
  </si>
  <si>
    <t>Jan-31-2022</t>
  </si>
  <si>
    <t>Feb-28-2022</t>
  </si>
  <si>
    <t>Mar-31-2022</t>
  </si>
  <si>
    <t>Apr-29-2022</t>
  </si>
  <si>
    <t>May-31-2022</t>
  </si>
  <si>
    <t>Jun-30-2022</t>
  </si>
  <si>
    <t>Jul-29-2022</t>
  </si>
  <si>
    <t>Aug-31-2022</t>
  </si>
  <si>
    <t>Sep-30-2022</t>
  </si>
  <si>
    <t>Oct-31-2022</t>
  </si>
  <si>
    <t>Nov-30-2022</t>
  </si>
  <si>
    <t>Dec-30-2022</t>
  </si>
  <si>
    <t>Jan-31-2023</t>
  </si>
  <si>
    <t>Feb-28-2023</t>
  </si>
  <si>
    <t>Mar-31-2023</t>
  </si>
  <si>
    <t>Apr-28-2023</t>
  </si>
  <si>
    <t>May-31-2023</t>
  </si>
  <si>
    <t>Jun-30-2023</t>
  </si>
  <si>
    <t>Jul-31-2023</t>
  </si>
  <si>
    <t>Aug-31-2023</t>
  </si>
  <si>
    <t>Sep-29-2023</t>
  </si>
  <si>
    <t>Oct-31-2023</t>
  </si>
  <si>
    <t>Nov-30-2023</t>
  </si>
  <si>
    <t>Dec-29-2023</t>
  </si>
  <si>
    <t>Jan-31-2024</t>
  </si>
  <si>
    <t>Feb-29-2024</t>
  </si>
  <si>
    <t>Mar-28-2024</t>
  </si>
  <si>
    <t>Apr-30-2024</t>
  </si>
  <si>
    <t>May-31-2024</t>
  </si>
  <si>
    <t>Jun-28-2024</t>
  </si>
  <si>
    <t>Jul-31-2024</t>
  </si>
  <si>
    <t>Aug-30-2024</t>
  </si>
  <si>
    <t>Sep-30-2024</t>
  </si>
  <si>
    <t>Oct-31-2024</t>
  </si>
  <si>
    <t>Nov-29-2024</t>
  </si>
  <si>
    <t>Dec-31-2024</t>
  </si>
  <si>
    <t>Jan-31-2025</t>
  </si>
  <si>
    <t>Feb-28-2025</t>
  </si>
  <si>
    <t>Mar-31-2025</t>
  </si>
  <si>
    <t>Apr-30-2025</t>
  </si>
  <si>
    <t>May-30-2025</t>
  </si>
  <si>
    <t>Jun-30-2025</t>
  </si>
  <si>
    <t>Jul-31-2025</t>
  </si>
  <si>
    <t>Aug-29-2025</t>
  </si>
  <si>
    <t>Sep-30-2025</t>
  </si>
  <si>
    <t>Oct-31-2025</t>
  </si>
  <si>
    <t>Nov-28-2025</t>
  </si>
  <si>
    <t>Dec-31-2025</t>
  </si>
  <si>
    <t>Jan-30-2026</t>
  </si>
  <si>
    <t>Feb-27-2026</t>
  </si>
  <si>
    <t>Mar-04-2026</t>
  </si>
  <si>
    <t>TEV/ LTM Total Revenue (x)</t>
  </si>
  <si>
    <t>High</t>
  </si>
  <si>
    <t xml:space="preserve">  </t>
  </si>
  <si>
    <t>Low</t>
  </si>
  <si>
    <t xml:space="preserve">    </t>
  </si>
  <si>
    <t>Close</t>
  </si>
  <si>
    <t>TEV/ NTM Total Revenue (x)</t>
  </si>
  <si>
    <t>TEV/ LTM EBITDA (x)</t>
  </si>
  <si>
    <t>TEV/ NTM EBITDA (x)</t>
  </si>
  <si>
    <t>TEV/ LTM EBIT (x)</t>
  </si>
  <si>
    <t>TEV/ NTM EBIT (x)</t>
  </si>
  <si>
    <t>Price/ LTM EPS (x)</t>
  </si>
  <si>
    <t xml:space="preserve">NM </t>
  </si>
  <si>
    <t>Price/ NTM EPS (x)</t>
  </si>
  <si>
    <t>Price/ LTM Normalized EPS (x)</t>
  </si>
  <si>
    <t>Price/ Book (x)</t>
  </si>
  <si>
    <t>Price/ Tangible Book (x)</t>
  </si>
  <si>
    <t>Price/ NTM Cash Flow (x)</t>
  </si>
  <si>
    <t>TEV/ LTM Free Cash Flow Unlevered (x)</t>
  </si>
  <si>
    <t>Market Cap/ LTM Free Cash Flow Levered (x)</t>
  </si>
  <si>
    <t xml:space="preserve">Average multiples are calculated using positive close values on each trading day within the frequency periods selected. Negative values are excluded from the calculation. When the Multiples are not meaningful, due to negative values, then they will not
 be displayed in the chart. When a mismatch exists between the currency of the equity listing and the reported financial results such results are translated into the currency of the listing at the exchange rate applicable on the financial period end date.
</t>
  </si>
  <si>
    <t>Historical Equity Pricing Data supplied by Interactive Data Pricing and Reference Data LLC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</si>
</sst>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4">
    <numFmt numFmtId="43" formatCode="_-* #,##0.00_-;\-* #,##0.00_-;_-* &quot;-&quot;??_-;_-@_-"/>
    <numFmt numFmtId="164" formatCode="&quot;$&quot;#,##0.00_);[Red]\(&quot;$&quot;#,##0.00\)"/>
    <numFmt numFmtId="165" formatCode="_(* #,##0_);_(* \(#,##0\);_(* &quot;-&quot;_);_(@_)"/>
    <numFmt numFmtId="166" formatCode="&quot;$&quot;#,##0_);\(&quot;$&quot;#,##0\);&quot;-&quot;_)"/>
    <numFmt numFmtId="167" formatCode="0&quot;A&quot;"/>
    <numFmt numFmtId="168" formatCode="0&quot;E&quot;"/>
    <numFmt numFmtId="169" formatCode="#,##0.0\x_);\(#,##0.0\x\)"/>
    <numFmt numFmtId="170" formatCode="0.0%_);\(0.0%\);&quot;-&quot;_)"/>
    <numFmt numFmtId="171" formatCode="&quot;$&quot;#,##0.0_);\(&quot;$&quot;#,##0.0\);&quot;-&quot;_)"/>
    <numFmt numFmtId="172" formatCode="mmm\ yyyy"/>
    <numFmt numFmtId="173" formatCode="&quot;$&quot;#,##0;\(&quot;$&quot;#,##0\);&quot;-&quot;"/>
    <numFmt numFmtId="174" formatCode="#,##0.0\x;\(#,##0.0\x\);&quot;-&quot;"/>
    <numFmt numFmtId="175" formatCode="#,##0\x_);\(#,##0\x\)"/>
    <numFmt numFmtId="176" formatCode="&quot;$&quot;#,##0.0;\(&quot;$&quot;#,##0.0\);&quot;-&quot;"/>
    <numFmt numFmtId="177" formatCode="0.0%;\(0.0%\);&quot;-&quot;"/>
    <numFmt numFmtId="178" formatCode="#,##0&quot;bps&quot;;\(#,##0&quot;bps&quot;\);&quot;-&quot;"/>
    <numFmt numFmtId="179" formatCode="#,##0.0_);\(#,##0.0\);&quot;-&quot;_)"/>
    <numFmt numFmtId="180" formatCode="&quot;$&quot;#,##0.00;\(&quot;$&quot;#,##0.00\);&quot;-&quot;"/>
    <numFmt numFmtId="181" formatCode="0.00000%"/>
    <numFmt numFmtId="182" formatCode="#,##0.0%_);\(#,##0.0%\);&quot;-&quot;_)"/>
    <numFmt numFmtId="183" formatCode="#,##0.0\x_);\(#,##0.0\x\);&quot;-&quot;_)"/>
    <numFmt numFmtId="184" formatCode="mmmm\ d\,\ yyyy"/>
    <numFmt numFmtId="185" formatCode="_-[$$-409]* #,##0.00_ ;_-[$$-409]* \-#,##0.00\ ;_-[$$-409]* &quot;-&quot;??_ ;_-@_ "/>
    <numFmt numFmtId="186" formatCode="0.0%"/>
    <numFmt numFmtId="187" formatCode="mmm\-dd\-yyyy"/>
    <numFmt numFmtId="188" formatCode="_(* #,##0.0_);_(* \(#,##0.0\)_)\ ;_(* 0_)"/>
    <numFmt numFmtId="189" formatCode="#,##0;[Red]\(#,##0\)"/>
    <numFmt numFmtId="190" formatCode="&quot;$&quot;#,##0.00"/>
    <numFmt numFmtId="191" formatCode="0.000%"/>
    <numFmt numFmtId="192" formatCode="#,##0.0"/>
    <numFmt numFmtId="193" formatCode="#,##0.0_);\(#,##0.0\)"/>
    <numFmt numFmtId="194" formatCode="_([$$-409]* #,##0.000_);_([$$-409]* \(#,##0.000\);_([$$-409]* &quot;-&quot;???_);_(@_)"/>
    <numFmt numFmtId="195" formatCode="#,##0.00;[Red]\(#,##0.00\)"/>
    <numFmt numFmtId="196" formatCode="_(* #,##0.0_);_(* \(#,##0.0\);_(* &quot;-&quot;?_);_(@_)"/>
    <numFmt numFmtId="197" formatCode="0.0"/>
    <numFmt numFmtId="198" formatCode="[$$-409]#,##0.0"/>
    <numFmt numFmtId="199" formatCode="&quot;$&quot;#,##0.000"/>
    <numFmt numFmtId="200" formatCode="#,##0.##;[Red]\(#,##0.##\)"/>
    <numFmt numFmtId="201" formatCode="#,##0.00;[Red]#,##0.00"/>
    <numFmt numFmtId="202" formatCode="[$$-409]#,##0.00"/>
    <numFmt numFmtId="203" formatCode="_([$$-409]* #,##0.00_);_([$$-409]* \(#,##0.00\);_([$$-409]* &quot;-&quot;??_);_(@_)"/>
    <numFmt numFmtId="204" formatCode="#,##0.00_);\(#,##0.00\);&quot;-&quot;_)"/>
    <numFmt numFmtId="205" formatCode="_-* #,##0_-;\-* #,##0_-;_-* &quot;-&quot;??_-;_-@_-"/>
    <numFmt numFmtId="206" formatCode="_-[$$-409]* #,##0_ ;_-[$$-409]* \-#,##0\ ;_-[$$-409]* &quot;-&quot;??_ ;_-@_ "/>
  </numFmts>
  <fonts count="62" x14ac:knownFonts="1">
    <font>
      <sz val="11"/>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1"/>
      <color theme="1"/>
      <name val="Calibri"/>
      <family val="2"/>
      <scheme val="minor"/>
    </font>
    <font>
      <sz val="12"/>
      <color theme="1"/>
      <name val="Arial"/>
      <family val="2"/>
    </font>
    <font>
      <sz val="12"/>
      <color rgb="FF0000FF"/>
      <name val="Arial"/>
      <family val="2"/>
    </font>
    <font>
      <b/>
      <sz val="12"/>
      <color theme="0"/>
      <name val="Arial"/>
      <family val="2"/>
    </font>
    <font>
      <b/>
      <u/>
      <sz val="12"/>
      <color theme="0"/>
      <name val="Arial"/>
      <family val="2"/>
    </font>
    <font>
      <b/>
      <sz val="12"/>
      <color theme="1"/>
      <name val="Arial"/>
      <family val="2"/>
    </font>
    <font>
      <sz val="12"/>
      <name val="Arial"/>
      <family val="2"/>
    </font>
    <font>
      <b/>
      <sz val="12"/>
      <name val="Arial"/>
      <family val="2"/>
    </font>
    <font>
      <i/>
      <sz val="12"/>
      <color theme="1"/>
      <name val="Arial"/>
      <family val="2"/>
    </font>
    <font>
      <i/>
      <sz val="12"/>
      <name val="Arial"/>
      <family val="2"/>
    </font>
    <font>
      <sz val="12"/>
      <color theme="0"/>
      <name val="Arial"/>
      <family val="2"/>
    </font>
    <font>
      <b/>
      <sz val="20"/>
      <color theme="0"/>
      <name val="Arial"/>
      <family val="2"/>
    </font>
    <font>
      <b/>
      <sz val="20"/>
      <name val="Arial"/>
      <family val="2"/>
    </font>
    <font>
      <sz val="12"/>
      <color rgb="FF009B00"/>
      <name val="Arial"/>
      <family val="2"/>
    </font>
    <font>
      <sz val="10"/>
      <color rgb="FF000000"/>
      <name val="Tahoma"/>
      <family val="2"/>
    </font>
    <font>
      <sz val="10"/>
      <name val="Arial"/>
      <family val="2"/>
    </font>
    <font>
      <sz val="8"/>
      <name val="Arial"/>
      <family val="2"/>
    </font>
    <font>
      <sz val="8"/>
      <color indexed="8"/>
      <name val="Arial"/>
      <family val="2"/>
    </font>
    <font>
      <b/>
      <sz val="8"/>
      <color indexed="8"/>
      <name val="Arial"/>
      <family val="2"/>
    </font>
    <font>
      <b/>
      <i/>
      <sz val="8"/>
      <color indexed="8"/>
      <name val="Arial"/>
      <family val="2"/>
    </font>
    <font>
      <sz val="1"/>
      <color indexed="9"/>
      <name val="Symbol"/>
      <family val="1"/>
      <charset val="2"/>
    </font>
    <font>
      <b/>
      <sz val="8"/>
      <color indexed="9"/>
      <name val="Verdana"/>
      <family val="2"/>
    </font>
    <font>
      <i/>
      <sz val="8"/>
      <name val="Arial"/>
      <family val="2"/>
    </font>
    <font>
      <b/>
      <sz val="8"/>
      <color theme="1"/>
      <name val="Verdana"/>
      <family val="2"/>
    </font>
    <font>
      <b/>
      <sz val="11"/>
      <color theme="1"/>
      <name val="Calibri"/>
      <family val="2"/>
      <scheme val="minor"/>
    </font>
    <font>
      <b/>
      <sz val="10"/>
      <color rgb="FF000000"/>
      <name val="Tahoma"/>
      <family val="2"/>
    </font>
    <font>
      <b/>
      <sz val="14"/>
      <name val="Calibri"/>
      <family val="2"/>
    </font>
    <font>
      <b/>
      <sz val="11"/>
      <color rgb="FF000000"/>
      <name val="Calibri"/>
      <family val="2"/>
    </font>
    <font>
      <b/>
      <i/>
      <sz val="11"/>
      <color rgb="FF000000"/>
      <name val="Calibri"/>
      <family val="2"/>
    </font>
    <font>
      <sz val="11"/>
      <color rgb="FF000000"/>
      <name val="Calibri"/>
      <family val="2"/>
    </font>
    <font>
      <b/>
      <sz val="12"/>
      <color rgb="FFFFFFFF"/>
      <name val="Arial"/>
      <family val="2"/>
    </font>
    <font>
      <sz val="12"/>
      <color theme="1"/>
      <name val="Arial"/>
      <family val="2"/>
    </font>
    <font>
      <sz val="12"/>
      <name val="Arial"/>
      <family val="2"/>
    </font>
    <font>
      <i/>
      <sz val="11"/>
      <name val="Arial"/>
      <family val="2"/>
    </font>
    <font>
      <sz val="11"/>
      <name val="Arial"/>
      <family val="2"/>
    </font>
    <font>
      <b/>
      <sz val="11"/>
      <color theme="1"/>
      <name val="Arial"/>
      <family val="2"/>
    </font>
    <font>
      <i/>
      <sz val="11"/>
      <color theme="1"/>
      <name val="Arial"/>
      <family val="2"/>
    </font>
    <font>
      <b/>
      <sz val="11"/>
      <name val="Arial"/>
      <family val="2"/>
    </font>
    <font>
      <b/>
      <u/>
      <sz val="12"/>
      <color theme="1"/>
      <name val="Arial"/>
      <family val="2"/>
    </font>
    <font>
      <b/>
      <u/>
      <sz val="12"/>
      <name val="Arial"/>
      <family val="2"/>
    </font>
    <font>
      <sz val="11"/>
      <color rgb="FF000000"/>
      <name val="Arial"/>
      <family val="2"/>
    </font>
    <font>
      <b/>
      <sz val="12"/>
      <color theme="0"/>
      <name val="Calibri"/>
      <family val="2"/>
      <scheme val="minor"/>
    </font>
    <font>
      <sz val="8"/>
      <color theme="9"/>
      <name val="Arial"/>
      <family val="2"/>
    </font>
    <font>
      <sz val="8"/>
      <color theme="5"/>
      <name val="Arial"/>
      <family val="2"/>
    </font>
    <font>
      <sz val="8"/>
      <color theme="4"/>
      <name val="Arial"/>
      <family val="2"/>
    </font>
    <font>
      <sz val="8"/>
      <color theme="7" tint="-0.249977111117893"/>
      <name val="Arial"/>
      <family val="2"/>
    </font>
    <font>
      <sz val="8"/>
      <color rgb="FF000000"/>
      <name val="Arial"/>
      <family val="2"/>
    </font>
    <font>
      <b/>
      <sz val="12"/>
      <color theme="1"/>
      <name val="Times New Roman"/>
      <family val="1"/>
    </font>
    <font>
      <sz val="12"/>
      <color theme="1"/>
      <name val="Times New Roman"/>
      <family val="1"/>
    </font>
    <font>
      <sz val="10.5"/>
      <name val="Times New Roman"/>
      <family val="1"/>
    </font>
    <font>
      <sz val="12"/>
      <name val="Times New Roman"/>
      <family val="1"/>
    </font>
    <font>
      <b/>
      <u/>
      <sz val="12"/>
      <name val="Times New Roman"/>
      <family val="1"/>
    </font>
    <font>
      <b/>
      <sz val="12"/>
      <name val="Times New Roman"/>
      <family val="1"/>
    </font>
    <font>
      <b/>
      <sz val="12"/>
      <color theme="0"/>
      <name val="Times New Roman"/>
      <family val="1"/>
    </font>
    <font>
      <sz val="12"/>
      <color rgb="FF00B050"/>
      <name val="Arial"/>
      <family val="2"/>
    </font>
    <font>
      <b/>
      <sz val="12"/>
      <color rgb="FF000000"/>
      <name val="Times New Roman"/>
      <family val="1"/>
    </font>
    <font>
      <b/>
      <sz val="11"/>
      <color rgb="FF000000"/>
      <name val="Times New Roman"/>
      <family val="1"/>
    </font>
    <font>
      <sz val="10"/>
      <color theme="1"/>
      <name val="Arial"/>
      <family val="2"/>
    </font>
  </fonts>
  <fills count="19">
    <fill>
      <patternFill patternType="none"/>
    </fill>
    <fill>
      <patternFill patternType="gray125"/>
    </fill>
    <fill>
      <patternFill patternType="solid">
        <fgColor rgb="FF00206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0"/>
        <bgColor indexed="64"/>
      </patternFill>
    </fill>
    <fill>
      <patternFill patternType="solid">
        <fgColor rgb="FFFFFF00"/>
        <bgColor indexed="64"/>
      </patternFill>
    </fill>
    <fill>
      <patternFill patternType="solid">
        <fgColor theme="4" tint="0.79998168889431442"/>
        <bgColor indexed="64"/>
      </patternFill>
    </fill>
    <fill>
      <patternFill patternType="solid">
        <fgColor theme="4" tint="0.59999389629810485"/>
        <bgColor indexed="64"/>
      </patternFill>
    </fill>
    <fill>
      <patternFill patternType="solid">
        <fgColor theme="4" tint="0.39997558519241921"/>
        <bgColor indexed="64"/>
      </patternFill>
    </fill>
    <fill>
      <patternFill patternType="solid">
        <fgColor theme="4" tint="-0.249977111117893"/>
        <bgColor indexed="64"/>
      </patternFill>
    </fill>
    <fill>
      <patternFill patternType="solid">
        <fgColor theme="5" tint="0.79998168889431442"/>
        <bgColor indexed="64"/>
      </patternFill>
    </fill>
    <fill>
      <patternFill patternType="solid">
        <fgColor theme="5" tint="0.39997558519241921"/>
        <bgColor indexed="64"/>
      </patternFill>
    </fill>
    <fill>
      <patternFill patternType="solid">
        <fgColor theme="5" tint="-0.249977111117893"/>
        <bgColor indexed="64"/>
      </patternFill>
    </fill>
    <fill>
      <patternFill patternType="solid">
        <fgColor rgb="FFCCCCCC"/>
        <bgColor indexed="64"/>
      </patternFill>
    </fill>
    <fill>
      <patternFill patternType="solid">
        <fgColor rgb="FFD3D3D3"/>
        <bgColor indexed="64"/>
      </patternFill>
    </fill>
    <fill>
      <patternFill patternType="solid">
        <fgColor theme="2" tint="-9.9978637043366805E-2"/>
        <bgColor indexed="64"/>
      </patternFill>
    </fill>
    <fill>
      <patternFill patternType="solid">
        <fgColor theme="4"/>
        <bgColor indexed="64"/>
      </patternFill>
    </fill>
    <fill>
      <patternFill patternType="solid">
        <fgColor rgb="FF002060"/>
        <bgColor rgb="FF000000"/>
      </patternFill>
    </fill>
  </fills>
  <borders count="32">
    <border>
      <left/>
      <right/>
      <top/>
      <bottom/>
      <diagonal/>
    </border>
    <border>
      <left style="medium">
        <color theme="0"/>
      </left>
      <right/>
      <top/>
      <bottom/>
      <diagonal/>
    </border>
    <border>
      <left/>
      <right style="medium">
        <color theme="0"/>
      </right>
      <top/>
      <bottom/>
      <diagonal/>
    </border>
    <border>
      <left/>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right/>
      <top/>
      <bottom style="thin">
        <color indexed="64"/>
      </bottom>
      <diagonal/>
    </border>
    <border>
      <left style="thick">
        <color theme="0"/>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indexed="64"/>
      </left>
      <right style="thin">
        <color indexed="64"/>
      </right>
      <top/>
      <bottom style="thin">
        <color indexed="64"/>
      </bottom>
      <diagonal/>
    </border>
    <border>
      <left style="medium">
        <color rgb="FFFFFFFF"/>
      </left>
      <right style="medium">
        <color rgb="FFFFFFFF"/>
      </right>
      <top/>
      <bottom/>
      <diagonal/>
    </border>
    <border>
      <left style="medium">
        <color rgb="FFFFFFFF"/>
      </left>
      <right/>
      <top/>
      <bottom/>
      <diagonal/>
    </border>
    <border>
      <left/>
      <right style="medium">
        <color rgb="FFFFFFFF"/>
      </right>
      <top/>
      <bottom/>
      <diagonal/>
    </border>
  </borders>
  <cellStyleXfs count="10">
    <xf numFmtId="0" fontId="0" fillId="0" borderId="0"/>
    <xf numFmtId="9" fontId="4" fillId="0" borderId="0" applyFont="0" applyFill="0" applyBorder="0" applyAlignment="0" applyProtection="0"/>
    <xf numFmtId="43" fontId="4" fillId="0" borderId="0" applyFont="0" applyFill="0" applyBorder="0" applyAlignment="0" applyProtection="0"/>
    <xf numFmtId="0" fontId="4" fillId="0" borderId="0"/>
    <xf numFmtId="9" fontId="4" fillId="0" borderId="0" applyFont="0" applyFill="0" applyBorder="0" applyAlignment="0" applyProtection="0"/>
    <xf numFmtId="9" fontId="3" fillId="0" borderId="0" applyFont="0" applyFill="0" applyBorder="0" applyAlignment="0" applyProtection="0"/>
    <xf numFmtId="0" fontId="19" fillId="0" borderId="0"/>
    <xf numFmtId="0" fontId="24" fillId="0" borderId="0" applyAlignment="0"/>
    <xf numFmtId="0" fontId="2" fillId="0" borderId="0"/>
    <xf numFmtId="9" fontId="2" fillId="0" borderId="0" applyFont="0" applyFill="0" applyBorder="0" applyAlignment="0" applyProtection="0"/>
  </cellStyleXfs>
  <cellXfs count="468">
    <xf numFmtId="0" fontId="0" fillId="0" borderId="0" xfId="0"/>
    <xf numFmtId="0" fontId="5" fillId="0" borderId="0" xfId="0" applyFont="1"/>
    <xf numFmtId="0" fontId="5" fillId="0" borderId="0" xfId="0" applyFont="1" applyAlignment="1">
      <alignment horizontal="right"/>
    </xf>
    <xf numFmtId="0" fontId="8" fillId="2" borderId="1" xfId="0" applyFont="1" applyFill="1" applyBorder="1" applyAlignment="1">
      <alignment horizontal="centerContinuous"/>
    </xf>
    <xf numFmtId="0" fontId="7" fillId="2" borderId="0" xfId="0" applyFont="1" applyFill="1" applyAlignment="1">
      <alignment horizontal="centerContinuous"/>
    </xf>
    <xf numFmtId="167" fontId="7" fillId="2" borderId="1" xfId="0" applyNumberFormat="1" applyFont="1" applyFill="1" applyBorder="1" applyAlignment="1">
      <alignment horizontal="right"/>
    </xf>
    <xf numFmtId="167" fontId="7" fillId="2" borderId="0" xfId="0" applyNumberFormat="1" applyFont="1" applyFill="1" applyAlignment="1">
      <alignment horizontal="right"/>
    </xf>
    <xf numFmtId="168" fontId="7" fillId="2" borderId="0" xfId="0" applyNumberFormat="1" applyFont="1" applyFill="1" applyAlignment="1">
      <alignment horizontal="right"/>
    </xf>
    <xf numFmtId="166" fontId="5" fillId="0" borderId="0" xfId="0" applyNumberFormat="1" applyFont="1" applyAlignment="1">
      <alignment horizontal="right"/>
    </xf>
    <xf numFmtId="169" fontId="10" fillId="0" borderId="0" xfId="0" applyNumberFormat="1" applyFont="1" applyAlignment="1">
      <alignment horizontal="right"/>
    </xf>
    <xf numFmtId="0" fontId="10" fillId="0" borderId="0" xfId="0" applyFont="1"/>
    <xf numFmtId="166" fontId="10" fillId="0" borderId="0" xfId="0" applyNumberFormat="1" applyFont="1" applyAlignment="1">
      <alignment horizontal="right"/>
    </xf>
    <xf numFmtId="0" fontId="10" fillId="3" borderId="0" xfId="0" applyFont="1" applyFill="1"/>
    <xf numFmtId="0" fontId="8" fillId="2" borderId="1" xfId="0" applyFont="1" applyFill="1" applyBorder="1" applyAlignment="1">
      <alignment horizontal="centerContinuous" vertical="distributed"/>
    </xf>
    <xf numFmtId="171" fontId="10" fillId="0" borderId="0" xfId="0" applyNumberFormat="1" applyFont="1" applyAlignment="1">
      <alignment horizontal="right"/>
    </xf>
    <xf numFmtId="0" fontId="11" fillId="3" borderId="0" xfId="0" applyFont="1" applyFill="1"/>
    <xf numFmtId="0" fontId="9" fillId="0" borderId="0" xfId="0" applyFont="1"/>
    <xf numFmtId="172" fontId="10" fillId="3" borderId="0" xfId="0" applyNumberFormat="1" applyFont="1" applyFill="1" applyAlignment="1">
      <alignment horizontal="center"/>
    </xf>
    <xf numFmtId="174" fontId="10" fillId="3" borderId="0" xfId="0" applyNumberFormat="1" applyFont="1" applyFill="1" applyAlignment="1">
      <alignment horizontal="center"/>
    </xf>
    <xf numFmtId="0" fontId="11" fillId="0" borderId="4" xfId="0" applyFont="1" applyBorder="1"/>
    <xf numFmtId="0" fontId="11" fillId="0" borderId="5" xfId="0" applyFont="1" applyBorder="1"/>
    <xf numFmtId="172" fontId="11" fillId="0" borderId="5" xfId="0" applyNumberFormat="1" applyFont="1" applyBorder="1" applyAlignment="1">
      <alignment horizontal="center"/>
    </xf>
    <xf numFmtId="173" fontId="11" fillId="0" borderId="5" xfId="0" applyNumberFormat="1" applyFont="1" applyBorder="1" applyAlignment="1">
      <alignment horizontal="center"/>
    </xf>
    <xf numFmtId="174" fontId="11" fillId="0" borderId="6" xfId="0" applyNumberFormat="1" applyFont="1" applyBorder="1" applyAlignment="1">
      <alignment horizontal="center"/>
    </xf>
    <xf numFmtId="172" fontId="10" fillId="0" borderId="0" xfId="0" applyNumberFormat="1" applyFont="1" applyAlignment="1">
      <alignment horizontal="center"/>
    </xf>
    <xf numFmtId="174" fontId="10" fillId="0" borderId="0" xfId="0" applyNumberFormat="1" applyFont="1" applyAlignment="1">
      <alignment horizontal="center"/>
    </xf>
    <xf numFmtId="172" fontId="11" fillId="3" borderId="0" xfId="0" applyNumberFormat="1" applyFont="1" applyFill="1" applyAlignment="1">
      <alignment horizontal="center"/>
    </xf>
    <xf numFmtId="174" fontId="11" fillId="3" borderId="0" xfId="0" applyNumberFormat="1" applyFont="1" applyFill="1" applyAlignment="1">
      <alignment horizontal="center"/>
    </xf>
    <xf numFmtId="0" fontId="7" fillId="2" borderId="0" xfId="0" applyFont="1" applyFill="1"/>
    <xf numFmtId="0" fontId="9" fillId="0" borderId="3" xfId="0" applyFont="1" applyBorder="1"/>
    <xf numFmtId="176" fontId="10" fillId="3" borderId="0" xfId="0" applyNumberFormat="1" applyFont="1" applyFill="1" applyAlignment="1">
      <alignment horizontal="center"/>
    </xf>
    <xf numFmtId="176" fontId="10" fillId="0" borderId="0" xfId="0" applyNumberFormat="1" applyFont="1" applyAlignment="1">
      <alignment horizontal="center"/>
    </xf>
    <xf numFmtId="176" fontId="11" fillId="3" borderId="0" xfId="0" applyNumberFormat="1" applyFont="1" applyFill="1" applyAlignment="1">
      <alignment horizontal="center"/>
    </xf>
    <xf numFmtId="171" fontId="5" fillId="0" borderId="0" xfId="0" applyNumberFormat="1" applyFont="1" applyAlignment="1">
      <alignment horizontal="right"/>
    </xf>
    <xf numFmtId="171" fontId="9" fillId="0" borderId="0" xfId="0" applyNumberFormat="1" applyFont="1" applyAlignment="1">
      <alignment horizontal="right"/>
    </xf>
    <xf numFmtId="177" fontId="6" fillId="0" borderId="0" xfId="1" applyNumberFormat="1" applyFont="1" applyAlignment="1">
      <alignment horizontal="center"/>
    </xf>
    <xf numFmtId="0" fontId="5" fillId="0" borderId="0" xfId="0" applyFont="1" applyAlignment="1">
      <alignment horizontal="center"/>
    </xf>
    <xf numFmtId="0" fontId="5" fillId="0" borderId="0" xfId="0" applyFont="1" applyAlignment="1">
      <alignment horizontal="centerContinuous"/>
    </xf>
    <xf numFmtId="171" fontId="9" fillId="3" borderId="0" xfId="0" applyNumberFormat="1" applyFont="1" applyFill="1" applyAlignment="1">
      <alignment horizontal="right"/>
    </xf>
    <xf numFmtId="171" fontId="5" fillId="0" borderId="0" xfId="0" applyNumberFormat="1" applyFont="1"/>
    <xf numFmtId="176" fontId="6" fillId="0" borderId="0" xfId="0" applyNumberFormat="1" applyFont="1" applyAlignment="1">
      <alignment horizontal="right"/>
    </xf>
    <xf numFmtId="179" fontId="6" fillId="0" borderId="0" xfId="0" applyNumberFormat="1" applyFont="1" applyAlignment="1">
      <alignment horizontal="right"/>
    </xf>
    <xf numFmtId="181" fontId="5" fillId="0" borderId="0" xfId="0" applyNumberFormat="1" applyFont="1"/>
    <xf numFmtId="0" fontId="14" fillId="2" borderId="0" xfId="0" applyFont="1" applyFill="1"/>
    <xf numFmtId="0" fontId="15" fillId="2" borderId="0" xfId="0" applyFont="1" applyFill="1" applyAlignment="1">
      <alignment horizontal="centerContinuous"/>
    </xf>
    <xf numFmtId="0" fontId="14" fillId="2" borderId="0" xfId="0" applyFont="1" applyFill="1" applyAlignment="1">
      <alignment horizontal="centerContinuous"/>
    </xf>
    <xf numFmtId="171" fontId="14" fillId="2" borderId="0" xfId="0" applyNumberFormat="1" applyFont="1" applyFill="1" applyAlignment="1">
      <alignment horizontal="centerContinuous"/>
    </xf>
    <xf numFmtId="179" fontId="14" fillId="2" borderId="0" xfId="0" applyNumberFormat="1" applyFont="1" applyFill="1" applyAlignment="1">
      <alignment horizontal="centerContinuous"/>
    </xf>
    <xf numFmtId="182" fontId="14" fillId="2" borderId="0" xfId="0" applyNumberFormat="1" applyFont="1" applyFill="1" applyAlignment="1">
      <alignment horizontal="centerContinuous"/>
    </xf>
    <xf numFmtId="183" fontId="14" fillId="2" borderId="0" xfId="0" applyNumberFormat="1" applyFont="1" applyFill="1" applyAlignment="1">
      <alignment horizontal="centerContinuous"/>
    </xf>
    <xf numFmtId="0" fontId="16" fillId="0" borderId="0" xfId="0" applyFont="1" applyAlignment="1">
      <alignment horizontal="centerContinuous"/>
    </xf>
    <xf numFmtId="0" fontId="10" fillId="0" borderId="0" xfId="0" applyFont="1" applyAlignment="1">
      <alignment horizontal="centerContinuous"/>
    </xf>
    <xf numFmtId="171" fontId="10" fillId="0" borderId="0" xfId="0" applyNumberFormat="1" applyFont="1" applyAlignment="1">
      <alignment horizontal="centerContinuous"/>
    </xf>
    <xf numFmtId="179" fontId="10" fillId="0" borderId="0" xfId="0" applyNumberFormat="1" applyFont="1" applyAlignment="1">
      <alignment horizontal="centerContinuous"/>
    </xf>
    <xf numFmtId="182" fontId="10" fillId="0" borderId="0" xfId="0" applyNumberFormat="1" applyFont="1" applyAlignment="1">
      <alignment horizontal="centerContinuous"/>
    </xf>
    <xf numFmtId="183" fontId="10" fillId="0" borderId="0" xfId="0" applyNumberFormat="1" applyFont="1" applyAlignment="1">
      <alignment horizontal="centerContinuous"/>
    </xf>
    <xf numFmtId="184" fontId="5" fillId="0" borderId="0" xfId="0" applyNumberFormat="1" applyFont="1" applyAlignment="1">
      <alignment horizontal="centerContinuous"/>
    </xf>
    <xf numFmtId="0" fontId="6" fillId="0" borderId="0" xfId="0" applyFont="1" applyAlignment="1">
      <alignment horizontal="centerContinuous"/>
    </xf>
    <xf numFmtId="0" fontId="17" fillId="0" borderId="0" xfId="0" applyFont="1" applyAlignment="1">
      <alignment horizontal="centerContinuous"/>
    </xf>
    <xf numFmtId="0" fontId="15" fillId="2" borderId="0" xfId="0" applyFont="1" applyFill="1"/>
    <xf numFmtId="171" fontId="14" fillId="2" borderId="0" xfId="0" applyNumberFormat="1" applyFont="1" applyFill="1"/>
    <xf numFmtId="179" fontId="14" fillId="2" borderId="0" xfId="0" applyNumberFormat="1" applyFont="1" applyFill="1"/>
    <xf numFmtId="182" fontId="14" fillId="2" borderId="0" xfId="0" applyNumberFormat="1" applyFont="1" applyFill="1"/>
    <xf numFmtId="183" fontId="14" fillId="2" borderId="0" xfId="0" applyNumberFormat="1" applyFont="1" applyFill="1"/>
    <xf numFmtId="10" fontId="0" fillId="0" borderId="0" xfId="0" applyNumberFormat="1"/>
    <xf numFmtId="0" fontId="5" fillId="0" borderId="0" xfId="3" applyFont="1"/>
    <xf numFmtId="0" fontId="0" fillId="6" borderId="0" xfId="0" applyFill="1"/>
    <xf numFmtId="0" fontId="0" fillId="0" borderId="13" xfId="0" applyBorder="1"/>
    <xf numFmtId="0" fontId="20" fillId="0" borderId="0" xfId="6" applyFont="1"/>
    <xf numFmtId="0" fontId="21" fillId="0" borderId="0" xfId="6" applyFont="1" applyAlignment="1">
      <alignment horizontal="center" vertical="center"/>
    </xf>
    <xf numFmtId="0" fontId="20" fillId="0" borderId="0" xfId="6" applyFont="1" applyAlignment="1">
      <alignment vertical="top" wrapText="1"/>
    </xf>
    <xf numFmtId="0" fontId="24" fillId="6" borderId="0" xfId="7" applyFill="1" applyAlignment="1"/>
    <xf numFmtId="0" fontId="20" fillId="6" borderId="0" xfId="6" applyFont="1" applyFill="1"/>
    <xf numFmtId="0" fontId="26" fillId="0" borderId="14" xfId="6" applyFont="1" applyBorder="1" applyAlignment="1">
      <alignment wrapText="1"/>
    </xf>
    <xf numFmtId="0" fontId="20" fillId="0" borderId="14" xfId="6" applyFont="1" applyBorder="1"/>
    <xf numFmtId="0" fontId="27" fillId="6" borderId="14" xfId="6" applyFont="1" applyFill="1" applyBorder="1"/>
    <xf numFmtId="0" fontId="25" fillId="6" borderId="14" xfId="6" applyFont="1" applyFill="1" applyBorder="1"/>
    <xf numFmtId="0" fontId="22" fillId="6" borderId="14" xfId="6" applyFont="1" applyFill="1" applyBorder="1" applyAlignment="1">
      <alignment wrapText="1"/>
    </xf>
    <xf numFmtId="0" fontId="22" fillId="6" borderId="14" xfId="6" applyFont="1" applyFill="1" applyBorder="1" applyAlignment="1">
      <alignment horizontal="right" wrapText="1"/>
    </xf>
    <xf numFmtId="0" fontId="23" fillId="6" borderId="14" xfId="6" applyFont="1" applyFill="1" applyBorder="1" applyAlignment="1">
      <alignment wrapText="1"/>
    </xf>
    <xf numFmtId="0" fontId="23" fillId="6" borderId="14" xfId="6" applyFont="1" applyFill="1" applyBorder="1" applyAlignment="1">
      <alignment horizontal="right" wrapText="1"/>
    </xf>
    <xf numFmtId="0" fontId="22" fillId="0" borderId="14" xfId="6" applyFont="1" applyBorder="1" applyAlignment="1">
      <alignment horizontal="left" vertical="top"/>
    </xf>
    <xf numFmtId="0" fontId="21" fillId="0" borderId="14" xfId="6" applyFont="1" applyBorder="1" applyAlignment="1">
      <alignment horizontal="left" vertical="top"/>
    </xf>
    <xf numFmtId="188" fontId="21" fillId="0" borderId="14" xfId="6" applyNumberFormat="1" applyFont="1" applyBorder="1" applyAlignment="1">
      <alignment horizontal="right" vertical="top" wrapText="1"/>
    </xf>
    <xf numFmtId="188" fontId="22" fillId="0" borderId="14" xfId="6" applyNumberFormat="1" applyFont="1" applyBorder="1" applyAlignment="1">
      <alignment horizontal="right" vertical="top" wrapText="1"/>
    </xf>
    <xf numFmtId="187" fontId="21" fillId="0" borderId="14" xfId="6" applyNumberFormat="1" applyFont="1" applyBorder="1" applyAlignment="1">
      <alignment horizontal="right" vertical="top" wrapText="1"/>
    </xf>
    <xf numFmtId="0" fontId="20" fillId="0" borderId="14" xfId="6" applyFont="1" applyBorder="1" applyAlignment="1">
      <alignment vertical="top" wrapText="1"/>
    </xf>
    <xf numFmtId="0" fontId="22" fillId="7" borderId="14" xfId="6" applyFont="1" applyFill="1" applyBorder="1" applyAlignment="1">
      <alignment horizontal="left" vertical="top"/>
    </xf>
    <xf numFmtId="0" fontId="21" fillId="7" borderId="14" xfId="6" applyFont="1" applyFill="1" applyBorder="1" applyAlignment="1">
      <alignment horizontal="left" vertical="top"/>
    </xf>
    <xf numFmtId="0" fontId="20" fillId="7" borderId="0" xfId="6" applyFont="1" applyFill="1"/>
    <xf numFmtId="0" fontId="22" fillId="8" borderId="14" xfId="6" applyFont="1" applyFill="1" applyBorder="1" applyAlignment="1">
      <alignment horizontal="left" vertical="top"/>
    </xf>
    <xf numFmtId="0" fontId="21" fillId="8" borderId="14" xfId="6" applyFont="1" applyFill="1" applyBorder="1" applyAlignment="1">
      <alignment horizontal="left" vertical="top"/>
    </xf>
    <xf numFmtId="0" fontId="20" fillId="8" borderId="0" xfId="6" applyFont="1" applyFill="1"/>
    <xf numFmtId="0" fontId="22" fillId="9" borderId="14" xfId="6" applyFont="1" applyFill="1" applyBorder="1" applyAlignment="1">
      <alignment horizontal="left" vertical="top"/>
    </xf>
    <xf numFmtId="0" fontId="21" fillId="9" borderId="14" xfId="6" applyFont="1" applyFill="1" applyBorder="1" applyAlignment="1">
      <alignment horizontal="left" vertical="top"/>
    </xf>
    <xf numFmtId="0" fontId="20" fillId="9" borderId="0" xfId="6" applyFont="1" applyFill="1"/>
    <xf numFmtId="0" fontId="22" fillId="10" borderId="14" xfId="6" applyFont="1" applyFill="1" applyBorder="1" applyAlignment="1">
      <alignment horizontal="left" vertical="top"/>
    </xf>
    <xf numFmtId="0" fontId="21" fillId="10" borderId="14" xfId="6" applyFont="1" applyFill="1" applyBorder="1" applyAlignment="1">
      <alignment horizontal="left" vertical="top"/>
    </xf>
    <xf numFmtId="0" fontId="20" fillId="10" borderId="0" xfId="6" applyFont="1" applyFill="1"/>
    <xf numFmtId="0" fontId="22" fillId="11" borderId="14" xfId="6" applyFont="1" applyFill="1" applyBorder="1" applyAlignment="1">
      <alignment horizontal="left" vertical="top"/>
    </xf>
    <xf numFmtId="0" fontId="21" fillId="11" borderId="14" xfId="6" applyFont="1" applyFill="1" applyBorder="1" applyAlignment="1">
      <alignment horizontal="left" vertical="top"/>
    </xf>
    <xf numFmtId="0" fontId="20" fillId="11" borderId="0" xfId="6" applyFont="1" applyFill="1"/>
    <xf numFmtId="0" fontId="22" fillId="12" borderId="14" xfId="6" applyFont="1" applyFill="1" applyBorder="1" applyAlignment="1">
      <alignment horizontal="left" vertical="top"/>
    </xf>
    <xf numFmtId="0" fontId="21" fillId="12" borderId="14" xfId="6" applyFont="1" applyFill="1" applyBorder="1" applyAlignment="1">
      <alignment horizontal="left" vertical="top"/>
    </xf>
    <xf numFmtId="0" fontId="20" fillId="12" borderId="0" xfId="6" applyFont="1" applyFill="1"/>
    <xf numFmtId="0" fontId="22" fillId="13" borderId="14" xfId="6" applyFont="1" applyFill="1" applyBorder="1" applyAlignment="1">
      <alignment horizontal="left" vertical="top"/>
    </xf>
    <xf numFmtId="0" fontId="21" fillId="13" borderId="14" xfId="6" applyFont="1" applyFill="1" applyBorder="1" applyAlignment="1">
      <alignment horizontal="left" vertical="top"/>
    </xf>
    <xf numFmtId="0" fontId="20" fillId="13" borderId="0" xfId="6" applyFont="1" applyFill="1"/>
    <xf numFmtId="0" fontId="7" fillId="2" borderId="0" xfId="3" applyFont="1" applyFill="1"/>
    <xf numFmtId="168" fontId="7" fillId="2" borderId="0" xfId="3" applyNumberFormat="1" applyFont="1" applyFill="1"/>
    <xf numFmtId="0" fontId="2" fillId="0" borderId="0" xfId="8"/>
    <xf numFmtId="165" fontId="2" fillId="0" borderId="0" xfId="8" applyNumberFormat="1"/>
    <xf numFmtId="4" fontId="2" fillId="0" borderId="0" xfId="8" applyNumberFormat="1"/>
    <xf numFmtId="0" fontId="9" fillId="0" borderId="0" xfId="3" applyFont="1"/>
    <xf numFmtId="10" fontId="4" fillId="0" borderId="0" xfId="9" applyNumberFormat="1" applyFont="1" applyAlignment="1">
      <alignment horizontal="right" vertical="top" wrapText="1"/>
    </xf>
    <xf numFmtId="4" fontId="4" fillId="0" borderId="0" xfId="3" applyNumberFormat="1" applyAlignment="1">
      <alignment horizontal="right" vertical="top" wrapText="1"/>
    </xf>
    <xf numFmtId="10" fontId="0" fillId="0" borderId="0" xfId="9" applyNumberFormat="1" applyFont="1" applyAlignment="1">
      <alignment horizontal="left" indent="7"/>
    </xf>
    <xf numFmtId="0" fontId="2" fillId="0" borderId="0" xfId="8" applyAlignment="1">
      <alignment horizontal="left"/>
    </xf>
    <xf numFmtId="10" fontId="0" fillId="0" borderId="0" xfId="9" applyNumberFormat="1" applyFont="1"/>
    <xf numFmtId="0" fontId="12" fillId="0" borderId="0" xfId="3" applyFont="1"/>
    <xf numFmtId="0" fontId="9" fillId="0" borderId="3" xfId="3" applyFont="1" applyBorder="1"/>
    <xf numFmtId="186" fontId="0" fillId="0" borderId="0" xfId="9" applyNumberFormat="1" applyFont="1"/>
    <xf numFmtId="4" fontId="28" fillId="0" borderId="0" xfId="3" applyNumberFormat="1" applyFont="1" applyAlignment="1">
      <alignment horizontal="right" vertical="top" wrapText="1"/>
    </xf>
    <xf numFmtId="0" fontId="9" fillId="0" borderId="5" xfId="3" applyFont="1" applyBorder="1"/>
    <xf numFmtId="0" fontId="4" fillId="0" borderId="0" xfId="3"/>
    <xf numFmtId="0" fontId="4" fillId="0" borderId="0" xfId="3" applyAlignment="1">
      <alignment horizontal="left" vertical="top"/>
    </xf>
    <xf numFmtId="0" fontId="4" fillId="0" borderId="0" xfId="3" applyAlignment="1">
      <alignment horizontal="left" vertical="top" wrapText="1"/>
    </xf>
    <xf numFmtId="0" fontId="32" fillId="15" borderId="13" xfId="3" applyFont="1" applyFill="1" applyBorder="1" applyAlignment="1">
      <alignment horizontal="left" vertical="top" wrapText="1"/>
    </xf>
    <xf numFmtId="0" fontId="32" fillId="15" borderId="13" xfId="3" applyFont="1" applyFill="1" applyBorder="1" applyAlignment="1">
      <alignment horizontal="right" vertical="top" wrapText="1"/>
    </xf>
    <xf numFmtId="14" fontId="4" fillId="0" borderId="0" xfId="3" applyNumberFormat="1" applyAlignment="1">
      <alignment horizontal="right" vertical="top"/>
    </xf>
    <xf numFmtId="0" fontId="4" fillId="0" borderId="0" xfId="3" applyAlignment="1">
      <alignment horizontal="right" vertical="top"/>
    </xf>
    <xf numFmtId="0" fontId="28" fillId="0" borderId="0" xfId="3" applyFont="1" applyAlignment="1">
      <alignment horizontal="left" vertical="top"/>
    </xf>
    <xf numFmtId="189" fontId="4" fillId="0" borderId="0" xfId="3" applyNumberFormat="1" applyAlignment="1">
      <alignment horizontal="right" vertical="top"/>
    </xf>
    <xf numFmtId="189" fontId="28" fillId="0" borderId="0" xfId="3" applyNumberFormat="1" applyFont="1" applyAlignment="1">
      <alignment horizontal="right" vertical="top"/>
    </xf>
    <xf numFmtId="0" fontId="28" fillId="0" borderId="0" xfId="3" applyFont="1" applyAlignment="1">
      <alignment horizontal="right" vertical="top"/>
    </xf>
    <xf numFmtId="10" fontId="5" fillId="0" borderId="0" xfId="0" applyNumberFormat="1" applyFont="1"/>
    <xf numFmtId="0" fontId="5" fillId="2" borderId="0" xfId="0" applyFont="1" applyFill="1"/>
    <xf numFmtId="10" fontId="0" fillId="0" borderId="0" xfId="9" applyNumberFormat="1" applyFont="1" applyAlignment="1">
      <alignment horizontal="right" vertical="top" wrapText="1"/>
    </xf>
    <xf numFmtId="189" fontId="4" fillId="0" borderId="0" xfId="3" applyNumberFormat="1" applyAlignment="1">
      <alignment horizontal="left" vertical="top"/>
    </xf>
    <xf numFmtId="189" fontId="0" fillId="0" borderId="0" xfId="3" applyNumberFormat="1" applyFont="1" applyAlignment="1">
      <alignment horizontal="left" vertical="top"/>
    </xf>
    <xf numFmtId="0" fontId="7" fillId="5" borderId="0" xfId="0" applyFont="1" applyFill="1" applyAlignment="1">
      <alignment horizontal="left"/>
    </xf>
    <xf numFmtId="168" fontId="7" fillId="5" borderId="0" xfId="0" applyNumberFormat="1" applyFont="1" applyFill="1"/>
    <xf numFmtId="191" fontId="2" fillId="0" borderId="0" xfId="8" applyNumberFormat="1"/>
    <xf numFmtId="10" fontId="2" fillId="0" borderId="0" xfId="8" applyNumberFormat="1"/>
    <xf numFmtId="165" fontId="2" fillId="6" borderId="0" xfId="8" applyNumberFormat="1" applyFill="1"/>
    <xf numFmtId="0" fontId="5" fillId="0" borderId="14" xfId="0" applyFont="1" applyBorder="1"/>
    <xf numFmtId="0" fontId="7" fillId="2" borderId="14" xfId="0" applyFont="1" applyFill="1" applyBorder="1"/>
    <xf numFmtId="168" fontId="7" fillId="2" borderId="14" xfId="0" applyNumberFormat="1" applyFont="1" applyFill="1" applyBorder="1" applyAlignment="1">
      <alignment horizontal="left"/>
    </xf>
    <xf numFmtId="168" fontId="7" fillId="2" borderId="14" xfId="0" applyNumberFormat="1" applyFont="1" applyFill="1" applyBorder="1"/>
    <xf numFmtId="168" fontId="7" fillId="5" borderId="14" xfId="0" applyNumberFormat="1" applyFont="1" applyFill="1" applyBorder="1"/>
    <xf numFmtId="168" fontId="7" fillId="2" borderId="14" xfId="0" applyNumberFormat="1" applyFont="1" applyFill="1" applyBorder="1" applyAlignment="1">
      <alignment horizontal="right"/>
    </xf>
    <xf numFmtId="171" fontId="9" fillId="0" borderId="14" xfId="0" applyNumberFormat="1" applyFont="1" applyBorder="1" applyAlignment="1">
      <alignment horizontal="right"/>
    </xf>
    <xf numFmtId="170" fontId="10" fillId="0" borderId="14" xfId="1" applyNumberFormat="1" applyFont="1" applyBorder="1" applyAlignment="1">
      <alignment horizontal="right"/>
    </xf>
    <xf numFmtId="0" fontId="9" fillId="0" borderId="14" xfId="0" applyFont="1" applyBorder="1"/>
    <xf numFmtId="0" fontId="12" fillId="0" borderId="14" xfId="0" applyFont="1" applyBorder="1"/>
    <xf numFmtId="170" fontId="13" fillId="0" borderId="14" xfId="1" applyNumberFormat="1" applyFont="1" applyBorder="1" applyAlignment="1">
      <alignment horizontal="right"/>
    </xf>
    <xf numFmtId="171" fontId="5" fillId="0" borderId="14" xfId="0" applyNumberFormat="1" applyFont="1" applyBorder="1" applyAlignment="1">
      <alignment horizontal="right"/>
    </xf>
    <xf numFmtId="0" fontId="5" fillId="0" borderId="14" xfId="0" applyFont="1" applyBorder="1" applyAlignment="1">
      <alignment horizontal="right"/>
    </xf>
    <xf numFmtId="179" fontId="5" fillId="0" borderId="14" xfId="0" applyNumberFormat="1" applyFont="1" applyBorder="1" applyAlignment="1">
      <alignment horizontal="right"/>
    </xf>
    <xf numFmtId="170" fontId="11" fillId="0" borderId="14" xfId="1" applyNumberFormat="1" applyFont="1" applyBorder="1" applyAlignment="1">
      <alignment horizontal="right"/>
    </xf>
    <xf numFmtId="0" fontId="10" fillId="0" borderId="14" xfId="0" applyFont="1" applyBorder="1" applyAlignment="1">
      <alignment horizontal="right"/>
    </xf>
    <xf numFmtId="176" fontId="5" fillId="0" borderId="14" xfId="0" applyNumberFormat="1" applyFont="1" applyBorder="1" applyAlignment="1">
      <alignment horizontal="right"/>
    </xf>
    <xf numFmtId="0" fontId="7" fillId="2" borderId="14" xfId="0" applyFont="1" applyFill="1" applyBorder="1" applyAlignment="1">
      <alignment horizontal="left"/>
    </xf>
    <xf numFmtId="0" fontId="7" fillId="5" borderId="14" xfId="0" applyFont="1" applyFill="1" applyBorder="1" applyAlignment="1">
      <alignment horizontal="left"/>
    </xf>
    <xf numFmtId="0" fontId="9" fillId="0" borderId="14" xfId="0" applyFont="1" applyBorder="1" applyAlignment="1">
      <alignment horizontal="centerContinuous"/>
    </xf>
    <xf numFmtId="177" fontId="10" fillId="0" borderId="14" xfId="0" applyNumberFormat="1" applyFont="1" applyBorder="1" applyAlignment="1">
      <alignment horizontal="center"/>
    </xf>
    <xf numFmtId="0" fontId="5" fillId="0" borderId="14" xfId="0" applyFont="1" applyBorder="1" applyAlignment="1">
      <alignment horizontal="centerContinuous"/>
    </xf>
    <xf numFmtId="176" fontId="10" fillId="0" borderId="14" xfId="0" applyNumberFormat="1" applyFont="1" applyBorder="1" applyAlignment="1">
      <alignment horizontal="center"/>
    </xf>
    <xf numFmtId="176" fontId="10" fillId="4" borderId="14" xfId="0" applyNumberFormat="1" applyFont="1" applyFill="1" applyBorder="1" applyAlignment="1">
      <alignment horizontal="center"/>
    </xf>
    <xf numFmtId="176" fontId="11" fillId="3" borderId="14" xfId="0" applyNumberFormat="1" applyFont="1" applyFill="1" applyBorder="1" applyAlignment="1">
      <alignment horizontal="center"/>
    </xf>
    <xf numFmtId="0" fontId="33" fillId="0" borderId="0" xfId="0" applyFont="1"/>
    <xf numFmtId="192" fontId="5" fillId="0" borderId="0" xfId="0" applyNumberFormat="1" applyFont="1"/>
    <xf numFmtId="9" fontId="5" fillId="0" borderId="0" xfId="0" applyNumberFormat="1" applyFont="1"/>
    <xf numFmtId="176" fontId="5" fillId="5" borderId="14" xfId="0" applyNumberFormat="1" applyFont="1" applyFill="1" applyBorder="1" applyAlignment="1">
      <alignment horizontal="center"/>
    </xf>
    <xf numFmtId="9" fontId="5" fillId="0" borderId="0" xfId="1" applyFont="1"/>
    <xf numFmtId="193" fontId="5" fillId="0" borderId="0" xfId="0" applyNumberFormat="1" applyFont="1"/>
    <xf numFmtId="185" fontId="5" fillId="0" borderId="14" xfId="0" applyNumberFormat="1" applyFont="1" applyBorder="1"/>
    <xf numFmtId="0" fontId="9" fillId="0" borderId="14" xfId="0" applyFont="1" applyBorder="1" applyAlignment="1">
      <alignment wrapText="1"/>
    </xf>
    <xf numFmtId="0" fontId="9" fillId="0" borderId="0" xfId="0" applyFont="1" applyAlignment="1">
      <alignment wrapText="1"/>
    </xf>
    <xf numFmtId="0" fontId="5" fillId="0" borderId="14" xfId="0" applyFont="1" applyBorder="1" applyAlignment="1">
      <alignment wrapText="1"/>
    </xf>
    <xf numFmtId="171" fontId="5" fillId="0" borderId="14" xfId="0" applyNumberFormat="1" applyFont="1" applyBorder="1"/>
    <xf numFmtId="177" fontId="5" fillId="0" borderId="14" xfId="0" applyNumberFormat="1" applyFont="1" applyBorder="1"/>
    <xf numFmtId="10" fontId="5" fillId="0" borderId="14" xfId="0" applyNumberFormat="1" applyFont="1" applyBorder="1"/>
    <xf numFmtId="176" fontId="5" fillId="0" borderId="14" xfId="0" applyNumberFormat="1" applyFont="1" applyBorder="1"/>
    <xf numFmtId="10" fontId="9" fillId="0" borderId="0" xfId="0" applyNumberFormat="1" applyFont="1"/>
    <xf numFmtId="0" fontId="35" fillId="0" borderId="0" xfId="0" applyFont="1"/>
    <xf numFmtId="0" fontId="36" fillId="0" borderId="0" xfId="0" applyFont="1"/>
    <xf numFmtId="9" fontId="37" fillId="0" borderId="0" xfId="1" applyFont="1" applyAlignment="1">
      <alignment horizontal="right"/>
    </xf>
    <xf numFmtId="170" fontId="37" fillId="0" borderId="0" xfId="1" applyNumberFormat="1" applyFont="1" applyAlignment="1">
      <alignment horizontal="right"/>
    </xf>
    <xf numFmtId="185" fontId="37" fillId="0" borderId="0" xfId="2" applyNumberFormat="1" applyFont="1" applyAlignment="1">
      <alignment horizontal="right"/>
    </xf>
    <xf numFmtId="190" fontId="37" fillId="0" borderId="0" xfId="1" applyNumberFormat="1" applyFont="1" applyAlignment="1">
      <alignment horizontal="right"/>
    </xf>
    <xf numFmtId="10" fontId="38" fillId="0" borderId="0" xfId="1" applyNumberFormat="1" applyFont="1" applyAlignment="1">
      <alignment horizontal="center"/>
    </xf>
    <xf numFmtId="185" fontId="37" fillId="0" borderId="0" xfId="1" applyNumberFormat="1" applyFont="1" applyAlignment="1">
      <alignment horizontal="right"/>
    </xf>
    <xf numFmtId="0" fontId="39" fillId="0" borderId="0" xfId="0" applyFont="1"/>
    <xf numFmtId="178" fontId="38" fillId="0" borderId="0" xfId="1" applyNumberFormat="1" applyFont="1" applyAlignment="1">
      <alignment horizontal="center"/>
    </xf>
    <xf numFmtId="43" fontId="38" fillId="0" borderId="0" xfId="2" applyFont="1" applyAlignment="1">
      <alignment horizontal="center"/>
    </xf>
    <xf numFmtId="170" fontId="37" fillId="0" borderId="12" xfId="1" applyNumberFormat="1" applyFont="1" applyBorder="1" applyAlignment="1">
      <alignment horizontal="right"/>
    </xf>
    <xf numFmtId="0" fontId="40" fillId="0" borderId="0" xfId="0" applyFont="1" applyAlignment="1">
      <alignment horizontal="right"/>
    </xf>
    <xf numFmtId="0" fontId="40" fillId="0" borderId="0" xfId="0" applyFont="1"/>
    <xf numFmtId="186" fontId="41" fillId="16" borderId="0" xfId="1" applyNumberFormat="1" applyFont="1" applyFill="1" applyAlignment="1">
      <alignment horizontal="center"/>
    </xf>
    <xf numFmtId="170" fontId="41" fillId="16" borderId="12" xfId="1" applyNumberFormat="1" applyFont="1" applyFill="1" applyBorder="1" applyAlignment="1">
      <alignment horizontal="center"/>
    </xf>
    <xf numFmtId="167" fontId="42" fillId="0" borderId="12" xfId="0" applyNumberFormat="1" applyFont="1" applyBorder="1" applyAlignment="1">
      <alignment horizontal="center" vertical="top"/>
    </xf>
    <xf numFmtId="167" fontId="42" fillId="0" borderId="0" xfId="0" applyNumberFormat="1" applyFont="1" applyAlignment="1">
      <alignment horizontal="right" vertical="top"/>
    </xf>
    <xf numFmtId="168" fontId="43" fillId="0" borderId="0" xfId="0" applyNumberFormat="1" applyFont="1" applyAlignment="1">
      <alignment horizontal="center"/>
    </xf>
    <xf numFmtId="168" fontId="43" fillId="0" borderId="0" xfId="0" applyNumberFormat="1" applyFont="1" applyAlignment="1">
      <alignment horizontal="right"/>
    </xf>
    <xf numFmtId="168" fontId="43" fillId="0" borderId="0" xfId="0" applyNumberFormat="1" applyFont="1"/>
    <xf numFmtId="167" fontId="43" fillId="0" borderId="0" xfId="0" applyNumberFormat="1" applyFont="1" applyAlignment="1">
      <alignment horizontal="right"/>
    </xf>
    <xf numFmtId="0" fontId="44" fillId="0" borderId="0" xfId="0" applyFont="1"/>
    <xf numFmtId="168" fontId="43" fillId="0" borderId="0" xfId="0" quotePrefix="1" applyNumberFormat="1" applyFont="1" applyAlignment="1">
      <alignment horizontal="center"/>
    </xf>
    <xf numFmtId="194" fontId="37" fillId="0" borderId="0" xfId="1" applyNumberFormat="1" applyFont="1" applyAlignment="1">
      <alignment horizontal="right"/>
    </xf>
    <xf numFmtId="0" fontId="0" fillId="0" borderId="0" xfId="0" applyAlignment="1">
      <alignment horizontal="left" vertical="top"/>
    </xf>
    <xf numFmtId="0" fontId="0" fillId="0" borderId="0" xfId="0" applyAlignment="1">
      <alignment horizontal="left" vertical="top" wrapText="1"/>
    </xf>
    <xf numFmtId="0" fontId="32" fillId="15" borderId="13" xfId="0" applyFont="1" applyFill="1" applyBorder="1" applyAlignment="1">
      <alignment horizontal="left" vertical="top" wrapText="1"/>
    </xf>
    <xf numFmtId="0" fontId="32" fillId="15" borderId="13" xfId="0" applyFont="1" applyFill="1" applyBorder="1" applyAlignment="1">
      <alignment horizontal="right" vertical="top" wrapText="1"/>
    </xf>
    <xf numFmtId="0" fontId="0" fillId="0" borderId="0" xfId="0" applyAlignment="1">
      <alignment horizontal="right" vertical="top"/>
    </xf>
    <xf numFmtId="195" fontId="0" fillId="0" borderId="0" xfId="0" applyNumberFormat="1" applyAlignment="1">
      <alignment horizontal="right" vertical="top"/>
    </xf>
    <xf numFmtId="0" fontId="0" fillId="3" borderId="0" xfId="0" applyFill="1" applyAlignment="1">
      <alignment horizontal="left" vertical="top"/>
    </xf>
    <xf numFmtId="0" fontId="0" fillId="3" borderId="0" xfId="0" applyFill="1" applyAlignment="1">
      <alignment horizontal="right" vertical="top"/>
    </xf>
    <xf numFmtId="195" fontId="0" fillId="3" borderId="0" xfId="0" applyNumberFormat="1" applyFill="1" applyAlignment="1">
      <alignment horizontal="right" vertical="top"/>
    </xf>
    <xf numFmtId="195" fontId="0" fillId="5" borderId="0" xfId="0" applyNumberFormat="1" applyFill="1" applyAlignment="1">
      <alignment horizontal="right" vertical="top"/>
    </xf>
    <xf numFmtId="0" fontId="7" fillId="2" borderId="1" xfId="0" applyFont="1" applyFill="1" applyBorder="1" applyAlignment="1">
      <alignment horizontal="right" vertical="distributed"/>
    </xf>
    <xf numFmtId="0" fontId="8" fillId="2" borderId="0" xfId="0" applyFont="1" applyFill="1" applyAlignment="1">
      <alignment horizontal="center" vertical="distributed"/>
    </xf>
    <xf numFmtId="0" fontId="8" fillId="2" borderId="0" xfId="0" applyFont="1" applyFill="1" applyAlignment="1">
      <alignment horizontal="centerContinuous" vertical="distributed"/>
    </xf>
    <xf numFmtId="0" fontId="8" fillId="2" borderId="0" xfId="0" applyFont="1" applyFill="1"/>
    <xf numFmtId="0" fontId="0" fillId="2" borderId="0" xfId="0" applyFill="1"/>
    <xf numFmtId="0" fontId="7" fillId="2" borderId="0" xfId="0" applyFont="1" applyFill="1" applyAlignment="1">
      <alignment horizontal="right" vertical="distributed"/>
    </xf>
    <xf numFmtId="167" fontId="7" fillId="2" borderId="10" xfId="0" applyNumberFormat="1" applyFont="1" applyFill="1" applyBorder="1" applyAlignment="1">
      <alignment horizontal="right"/>
    </xf>
    <xf numFmtId="167" fontId="7" fillId="2" borderId="9" xfId="0" applyNumberFormat="1" applyFont="1" applyFill="1" applyBorder="1" applyAlignment="1">
      <alignment horizontal="right"/>
    </xf>
    <xf numFmtId="0" fontId="45" fillId="2" borderId="0" xfId="0" applyFont="1" applyFill="1"/>
    <xf numFmtId="0" fontId="41" fillId="16" borderId="0" xfId="0" applyFont="1" applyFill="1"/>
    <xf numFmtId="185" fontId="10" fillId="16" borderId="0" xfId="0" applyNumberFormat="1" applyFont="1" applyFill="1" applyAlignment="1">
      <alignment horizontal="right"/>
    </xf>
    <xf numFmtId="169" fontId="10" fillId="16" borderId="0" xfId="0" applyNumberFormat="1" applyFont="1" applyFill="1" applyAlignment="1">
      <alignment horizontal="right"/>
    </xf>
    <xf numFmtId="169" fontId="10" fillId="16" borderId="0" xfId="1" applyNumberFormat="1" applyFont="1" applyFill="1" applyAlignment="1">
      <alignment horizontal="right"/>
    </xf>
    <xf numFmtId="0" fontId="41" fillId="0" borderId="0" xfId="0" applyFont="1"/>
    <xf numFmtId="185" fontId="10" fillId="0" borderId="0" xfId="0" applyNumberFormat="1" applyFont="1" applyAlignment="1">
      <alignment horizontal="right"/>
    </xf>
    <xf numFmtId="169" fontId="10" fillId="0" borderId="0" xfId="1" applyNumberFormat="1" applyFont="1" applyAlignment="1">
      <alignment horizontal="right"/>
    </xf>
    <xf numFmtId="169" fontId="0" fillId="0" borderId="0" xfId="0" applyNumberFormat="1"/>
    <xf numFmtId="9" fontId="0" fillId="0" borderId="0" xfId="1" applyFont="1"/>
    <xf numFmtId="185" fontId="0" fillId="0" borderId="0" xfId="0" applyNumberFormat="1"/>
    <xf numFmtId="186" fontId="41" fillId="5" borderId="0" xfId="1" applyNumberFormat="1" applyFont="1" applyFill="1" applyAlignment="1">
      <alignment horizontal="center"/>
    </xf>
    <xf numFmtId="178" fontId="38" fillId="5" borderId="0" xfId="1" applyNumberFormat="1" applyFont="1" applyFill="1" applyAlignment="1">
      <alignment horizontal="center"/>
    </xf>
    <xf numFmtId="0" fontId="46" fillId="0" borderId="14" xfId="6" applyFont="1" applyBorder="1" applyAlignment="1">
      <alignment horizontal="left" vertical="top"/>
    </xf>
    <xf numFmtId="0" fontId="47" fillId="0" borderId="14" xfId="6" applyFont="1" applyBorder="1" applyAlignment="1">
      <alignment horizontal="left" vertical="top"/>
    </xf>
    <xf numFmtId="0" fontId="48" fillId="0" borderId="14" xfId="6" applyFont="1" applyBorder="1" applyAlignment="1">
      <alignment horizontal="left" vertical="top"/>
    </xf>
    <xf numFmtId="0" fontId="49" fillId="0" borderId="14" xfId="6" applyFont="1" applyBorder="1" applyAlignment="1">
      <alignment horizontal="left" vertical="top"/>
    </xf>
    <xf numFmtId="0" fontId="7" fillId="5" borderId="0" xfId="0" applyFont="1" applyFill="1"/>
    <xf numFmtId="0" fontId="5" fillId="5" borderId="0" xfId="0" applyFont="1" applyFill="1"/>
    <xf numFmtId="0" fontId="11" fillId="0" borderId="0" xfId="0" applyFont="1"/>
    <xf numFmtId="0" fontId="5" fillId="0" borderId="0" xfId="0" applyFont="1" applyAlignment="1">
      <alignment vertical="top"/>
    </xf>
    <xf numFmtId="0" fontId="9" fillId="3" borderId="0" xfId="0" applyFont="1" applyFill="1"/>
    <xf numFmtId="177" fontId="11" fillId="3" borderId="12" xfId="1" applyNumberFormat="1" applyFont="1" applyFill="1" applyBorder="1" applyAlignment="1">
      <alignment horizontal="center"/>
    </xf>
    <xf numFmtId="185" fontId="5" fillId="3" borderId="0" xfId="0" applyNumberFormat="1" applyFont="1" applyFill="1"/>
    <xf numFmtId="190" fontId="5" fillId="0" borderId="0" xfId="0" applyNumberFormat="1" applyFont="1" applyAlignment="1">
      <alignment horizontal="right"/>
    </xf>
    <xf numFmtId="10" fontId="5" fillId="0" borderId="12" xfId="0" applyNumberFormat="1" applyFont="1" applyBorder="1" applyAlignment="1">
      <alignment horizontal="right"/>
    </xf>
    <xf numFmtId="177" fontId="10" fillId="0" borderId="0" xfId="1" applyNumberFormat="1" applyFont="1" applyAlignment="1">
      <alignment horizontal="center"/>
    </xf>
    <xf numFmtId="177" fontId="10" fillId="5" borderId="0" xfId="1" applyNumberFormat="1" applyFont="1" applyFill="1" applyAlignment="1">
      <alignment horizontal="center"/>
    </xf>
    <xf numFmtId="177" fontId="11" fillId="3" borderId="0" xfId="1" applyNumberFormat="1" applyFont="1" applyFill="1" applyAlignment="1">
      <alignment horizontal="center"/>
    </xf>
    <xf numFmtId="177" fontId="11" fillId="5" borderId="0" xfId="1" applyNumberFormat="1" applyFont="1" applyFill="1" applyAlignment="1">
      <alignment horizontal="center"/>
    </xf>
    <xf numFmtId="171" fontId="5" fillId="5" borderId="0" xfId="0" applyNumberFormat="1" applyFont="1" applyFill="1" applyAlignment="1">
      <alignment horizontal="right"/>
    </xf>
    <xf numFmtId="0" fontId="5" fillId="0" borderId="12" xfId="0" applyFont="1" applyBorder="1" applyAlignment="1">
      <alignment horizontal="right"/>
    </xf>
    <xf numFmtId="171" fontId="5" fillId="0" borderId="12" xfId="0" applyNumberFormat="1" applyFont="1" applyBorder="1" applyAlignment="1">
      <alignment horizontal="right"/>
    </xf>
    <xf numFmtId="0" fontId="9" fillId="16" borderId="0" xfId="0" applyFont="1" applyFill="1"/>
    <xf numFmtId="190" fontId="5" fillId="16" borderId="0" xfId="0" applyNumberFormat="1" applyFont="1" applyFill="1"/>
    <xf numFmtId="43" fontId="10" fillId="0" borderId="0" xfId="2" applyFont="1" applyAlignment="1">
      <alignment horizontal="right"/>
    </xf>
    <xf numFmtId="167" fontId="7" fillId="5" borderId="0" xfId="0" applyNumberFormat="1" applyFont="1" applyFill="1" applyAlignment="1">
      <alignment horizontal="right"/>
    </xf>
    <xf numFmtId="10" fontId="5" fillId="0" borderId="0" xfId="0" applyNumberFormat="1" applyFont="1" applyAlignment="1">
      <alignment horizontal="right"/>
    </xf>
    <xf numFmtId="171" fontId="11" fillId="0" borderId="3" xfId="0" applyNumberFormat="1" applyFont="1" applyBorder="1" applyAlignment="1">
      <alignment horizontal="right"/>
    </xf>
    <xf numFmtId="171" fontId="11" fillId="0" borderId="0" xfId="0" applyNumberFormat="1" applyFont="1" applyAlignment="1">
      <alignment horizontal="right"/>
    </xf>
    <xf numFmtId="0" fontId="11" fillId="0" borderId="3" xfId="0" applyFont="1" applyBorder="1"/>
    <xf numFmtId="0" fontId="5" fillId="0" borderId="0" xfId="0" applyFont="1" applyAlignment="1">
      <alignment horizontal="left"/>
    </xf>
    <xf numFmtId="175" fontId="10" fillId="0" borderId="0" xfId="0" applyNumberFormat="1" applyFont="1" applyAlignment="1">
      <alignment horizontal="right"/>
    </xf>
    <xf numFmtId="14" fontId="10" fillId="0" borderId="0" xfId="0" applyNumberFormat="1" applyFont="1" applyAlignment="1">
      <alignment horizontal="left"/>
    </xf>
    <xf numFmtId="0" fontId="50" fillId="0" borderId="0" xfId="6" applyFont="1"/>
    <xf numFmtId="196" fontId="20" fillId="0" borderId="0" xfId="6" applyNumberFormat="1" applyFont="1"/>
    <xf numFmtId="0" fontId="20" fillId="0" borderId="13" xfId="6" applyFont="1" applyBorder="1"/>
    <xf numFmtId="196" fontId="20" fillId="0" borderId="13" xfId="6" applyNumberFormat="1" applyFont="1" applyBorder="1"/>
    <xf numFmtId="188" fontId="20" fillId="0" borderId="13" xfId="6" applyNumberFormat="1" applyFont="1" applyBorder="1"/>
    <xf numFmtId="0" fontId="20" fillId="0" borderId="15" xfId="6" applyFont="1" applyBorder="1"/>
    <xf numFmtId="0" fontId="20" fillId="0" borderId="16" xfId="6" applyFont="1" applyBorder="1"/>
    <xf numFmtId="197" fontId="5" fillId="0" borderId="14" xfId="0" applyNumberFormat="1" applyFont="1" applyBorder="1"/>
    <xf numFmtId="0" fontId="7" fillId="5" borderId="0" xfId="0" applyFont="1" applyFill="1" applyAlignment="1">
      <alignment horizontal="right"/>
    </xf>
    <xf numFmtId="168" fontId="7" fillId="5" borderId="0" xfId="0" applyNumberFormat="1" applyFont="1" applyFill="1" applyAlignment="1">
      <alignment horizontal="right"/>
    </xf>
    <xf numFmtId="0" fontId="44" fillId="5" borderId="0" xfId="0" applyFont="1" applyFill="1"/>
    <xf numFmtId="0" fontId="9" fillId="5" borderId="0" xfId="0" applyFont="1" applyFill="1"/>
    <xf numFmtId="171" fontId="9" fillId="5" borderId="0" xfId="0" applyNumberFormat="1" applyFont="1" applyFill="1" applyAlignment="1">
      <alignment horizontal="right"/>
    </xf>
    <xf numFmtId="9" fontId="9" fillId="5" borderId="0" xfId="1" applyFont="1" applyFill="1" applyAlignment="1">
      <alignment horizontal="right"/>
    </xf>
    <xf numFmtId="177" fontId="11" fillId="5" borderId="12" xfId="1" applyNumberFormat="1" applyFont="1" applyFill="1" applyBorder="1" applyAlignment="1">
      <alignment horizontal="center"/>
    </xf>
    <xf numFmtId="0" fontId="12" fillId="5" borderId="0" xfId="0" applyFont="1" applyFill="1"/>
    <xf numFmtId="9" fontId="5" fillId="5" borderId="0" xfId="1" applyFont="1" applyFill="1"/>
    <xf numFmtId="0" fontId="51" fillId="16" borderId="18" xfId="0" applyFont="1" applyFill="1" applyBorder="1"/>
    <xf numFmtId="0" fontId="51" fillId="16" borderId="19" xfId="0" applyFont="1" applyFill="1" applyBorder="1"/>
    <xf numFmtId="169" fontId="52" fillId="0" borderId="14" xfId="0" applyNumberFormat="1" applyFont="1" applyBorder="1"/>
    <xf numFmtId="198" fontId="52" fillId="0" borderId="21" xfId="0" applyNumberFormat="1" applyFont="1" applyBorder="1"/>
    <xf numFmtId="0" fontId="52" fillId="0" borderId="23" xfId="0" applyFont="1" applyBorder="1"/>
    <xf numFmtId="197" fontId="52" fillId="0" borderId="22" xfId="0" applyNumberFormat="1" applyFont="1" applyBorder="1"/>
    <xf numFmtId="198" fontId="52" fillId="5" borderId="21" xfId="0" applyNumberFormat="1" applyFont="1" applyFill="1" applyBorder="1"/>
    <xf numFmtId="0" fontId="51" fillId="16" borderId="17" xfId="0" applyFont="1" applyFill="1" applyBorder="1" applyAlignment="1">
      <alignment horizontal="left"/>
    </xf>
    <xf numFmtId="0" fontId="0" fillId="0" borderId="0" xfId="0" applyAlignment="1">
      <alignment horizontal="left"/>
    </xf>
    <xf numFmtId="0" fontId="52" fillId="0" borderId="20" xfId="0" applyFont="1" applyBorder="1" applyAlignment="1">
      <alignment horizontal="left"/>
    </xf>
    <xf numFmtId="0" fontId="52" fillId="0" borderId="24" xfId="0" applyFont="1" applyBorder="1" applyAlignment="1">
      <alignment horizontal="left"/>
    </xf>
    <xf numFmtId="0" fontId="41" fillId="5" borderId="0" xfId="0" applyFont="1" applyFill="1"/>
    <xf numFmtId="185" fontId="10" fillId="5" borderId="0" xfId="0" applyNumberFormat="1" applyFont="1" applyFill="1" applyAlignment="1">
      <alignment horizontal="right"/>
    </xf>
    <xf numFmtId="169" fontId="10" fillId="5" borderId="0" xfId="0" applyNumberFormat="1" applyFont="1" applyFill="1" applyAlignment="1">
      <alignment horizontal="right"/>
    </xf>
    <xf numFmtId="169" fontId="10" fillId="5" borderId="0" xfId="1" applyNumberFormat="1" applyFont="1" applyFill="1" applyAlignment="1">
      <alignment horizontal="right"/>
    </xf>
    <xf numFmtId="0" fontId="0" fillId="5" borderId="0" xfId="0" applyFill="1"/>
    <xf numFmtId="169" fontId="5" fillId="16" borderId="0" xfId="0" applyNumberFormat="1" applyFont="1" applyFill="1"/>
    <xf numFmtId="169" fontId="5" fillId="0" borderId="0" xfId="0" applyNumberFormat="1" applyFont="1"/>
    <xf numFmtId="169" fontId="5" fillId="0" borderId="0" xfId="0" applyNumberFormat="1" applyFont="1" applyAlignment="1">
      <alignment horizontal="right" vertical="top"/>
    </xf>
    <xf numFmtId="169" fontId="5" fillId="5" borderId="0" xfId="0" applyNumberFormat="1" applyFont="1" applyFill="1"/>
    <xf numFmtId="169" fontId="5" fillId="16" borderId="0" xfId="0" applyNumberFormat="1" applyFont="1" applyFill="1" applyAlignment="1">
      <alignment horizontal="right" vertical="top"/>
    </xf>
    <xf numFmtId="0" fontId="8" fillId="2" borderId="0" xfId="0" applyFont="1" applyFill="1" applyAlignment="1">
      <alignment wrapText="1"/>
    </xf>
    <xf numFmtId="185" fontId="11" fillId="16" borderId="0" xfId="0" applyNumberFormat="1" applyFont="1" applyFill="1" applyAlignment="1">
      <alignment horizontal="right"/>
    </xf>
    <xf numFmtId="169" fontId="11" fillId="16" borderId="0" xfId="0" applyNumberFormat="1" applyFont="1" applyFill="1" applyAlignment="1">
      <alignment horizontal="right"/>
    </xf>
    <xf numFmtId="169" fontId="11" fillId="16" borderId="0" xfId="1" applyNumberFormat="1" applyFont="1" applyFill="1" applyAlignment="1">
      <alignment horizontal="right"/>
    </xf>
    <xf numFmtId="169" fontId="9" fillId="16" borderId="0" xfId="0" applyNumberFormat="1" applyFont="1" applyFill="1"/>
    <xf numFmtId="9" fontId="9" fillId="16" borderId="0" xfId="1" applyFont="1" applyFill="1"/>
    <xf numFmtId="191" fontId="0" fillId="0" borderId="0" xfId="9" applyNumberFormat="1" applyFont="1" applyAlignment="1">
      <alignment horizontal="right" vertical="top" wrapText="1"/>
    </xf>
    <xf numFmtId="199" fontId="5" fillId="0" borderId="0" xfId="0" applyNumberFormat="1" applyFont="1"/>
    <xf numFmtId="0" fontId="53" fillId="0" borderId="26" xfId="0" applyFont="1" applyBorder="1" applyAlignment="1">
      <alignment wrapText="1" readingOrder="1"/>
    </xf>
    <xf numFmtId="0" fontId="53" fillId="0" borderId="13" xfId="0" applyFont="1" applyBorder="1" applyAlignment="1">
      <alignment wrapText="1" readingOrder="1"/>
    </xf>
    <xf numFmtId="10" fontId="53" fillId="0" borderId="26" xfId="0" applyNumberFormat="1" applyFont="1" applyBorder="1" applyAlignment="1">
      <alignment wrapText="1" readingOrder="1"/>
    </xf>
    <xf numFmtId="10" fontId="53" fillId="0" borderId="13" xfId="0" applyNumberFormat="1" applyFont="1" applyBorder="1" applyAlignment="1">
      <alignment wrapText="1" readingOrder="1"/>
    </xf>
    <xf numFmtId="14" fontId="0" fillId="0" borderId="0" xfId="0" applyNumberFormat="1" applyAlignment="1">
      <alignment horizontal="right" vertical="top"/>
    </xf>
    <xf numFmtId="0" fontId="28" fillId="0" borderId="0" xfId="0" applyFont="1" applyAlignment="1">
      <alignment horizontal="left" vertical="top"/>
    </xf>
    <xf numFmtId="200" fontId="0" fillId="0" borderId="0" xfId="0" applyNumberFormat="1" applyAlignment="1">
      <alignment horizontal="right" vertical="top"/>
    </xf>
    <xf numFmtId="201" fontId="0" fillId="0" borderId="0" xfId="0" applyNumberFormat="1"/>
    <xf numFmtId="0" fontId="39" fillId="16" borderId="0" xfId="0" applyFont="1" applyFill="1"/>
    <xf numFmtId="185" fontId="5" fillId="16" borderId="0" xfId="0" applyNumberFormat="1" applyFont="1" applyFill="1" applyAlignment="1">
      <alignment horizontal="right" vertical="top"/>
    </xf>
    <xf numFmtId="10" fontId="5" fillId="16" borderId="0" xfId="0" applyNumberFormat="1" applyFont="1" applyFill="1" applyAlignment="1">
      <alignment horizontal="right" vertical="top"/>
    </xf>
    <xf numFmtId="10" fontId="5" fillId="5" borderId="0" xfId="1" applyNumberFormat="1" applyFont="1" applyFill="1"/>
    <xf numFmtId="10" fontId="5" fillId="16" borderId="0" xfId="1" applyNumberFormat="1" applyFont="1" applyFill="1"/>
    <xf numFmtId="0" fontId="53" fillId="0" borderId="27" xfId="0" applyFont="1" applyBorder="1" applyAlignment="1">
      <alignment wrapText="1" readingOrder="1"/>
    </xf>
    <xf numFmtId="0" fontId="53" fillId="0" borderId="14" xfId="0" applyFont="1" applyBorder="1" applyAlignment="1">
      <alignment wrapText="1" readingOrder="1"/>
    </xf>
    <xf numFmtId="10" fontId="5" fillId="0" borderId="0" xfId="1" applyNumberFormat="1" applyFont="1"/>
    <xf numFmtId="0" fontId="10" fillId="0" borderId="14" xfId="0" applyFont="1" applyBorder="1"/>
    <xf numFmtId="0" fontId="0" fillId="0" borderId="14" xfId="0" applyBorder="1" applyAlignment="1">
      <alignment horizontal="left" vertical="top"/>
    </xf>
    <xf numFmtId="0" fontId="0" fillId="0" borderId="14" xfId="0" applyBorder="1" applyAlignment="1">
      <alignment horizontal="right" vertical="top"/>
    </xf>
    <xf numFmtId="169" fontId="5" fillId="16" borderId="0" xfId="1" applyNumberFormat="1" applyFont="1" applyFill="1"/>
    <xf numFmtId="10" fontId="5" fillId="16" borderId="0" xfId="0" applyNumberFormat="1" applyFont="1" applyFill="1"/>
    <xf numFmtId="185" fontId="10" fillId="0" borderId="14" xfId="0" applyNumberFormat="1" applyFont="1" applyBorder="1"/>
    <xf numFmtId="0" fontId="52" fillId="0" borderId="14" xfId="0" applyFont="1" applyBorder="1"/>
    <xf numFmtId="0" fontId="51" fillId="0" borderId="14" xfId="0" applyFont="1" applyBorder="1"/>
    <xf numFmtId="174" fontId="52" fillId="0" borderId="14" xfId="0" applyNumberFormat="1" applyFont="1" applyBorder="1"/>
    <xf numFmtId="168" fontId="7" fillId="5" borderId="14" xfId="0" applyNumberFormat="1" applyFont="1" applyFill="1" applyBorder="1" applyAlignment="1">
      <alignment horizontal="right"/>
    </xf>
    <xf numFmtId="185" fontId="10" fillId="0" borderId="14" xfId="1" applyNumberFormat="1" applyFont="1" applyBorder="1" applyAlignment="1">
      <alignment horizontal="right"/>
    </xf>
    <xf numFmtId="185" fontId="10" fillId="0" borderId="14" xfId="0" applyNumberFormat="1" applyFont="1" applyBorder="1" applyAlignment="1">
      <alignment horizontal="right"/>
    </xf>
    <xf numFmtId="2" fontId="52" fillId="0" borderId="14" xfId="0" applyNumberFormat="1" applyFont="1" applyBorder="1"/>
    <xf numFmtId="166" fontId="9" fillId="0" borderId="0" xfId="0" applyNumberFormat="1" applyFont="1" applyAlignment="1">
      <alignment horizontal="right"/>
    </xf>
    <xf numFmtId="0" fontId="54" fillId="0" borderId="14" xfId="0" applyFont="1" applyBorder="1" applyAlignment="1">
      <alignment horizontal="center"/>
    </xf>
    <xf numFmtId="185" fontId="54" fillId="0" borderId="14" xfId="0" applyNumberFormat="1" applyFont="1" applyBorder="1" applyAlignment="1">
      <alignment horizontal="center"/>
    </xf>
    <xf numFmtId="0" fontId="54" fillId="5" borderId="14" xfId="0" applyFont="1" applyFill="1" applyBorder="1" applyAlignment="1">
      <alignment horizontal="center"/>
    </xf>
    <xf numFmtId="171" fontId="54" fillId="5" borderId="14" xfId="0" applyNumberFormat="1" applyFont="1" applyFill="1" applyBorder="1" applyAlignment="1">
      <alignment horizontal="center"/>
    </xf>
    <xf numFmtId="186" fontId="54" fillId="5" borderId="14" xfId="1" applyNumberFormat="1" applyFont="1" applyFill="1" applyBorder="1" applyAlignment="1">
      <alignment horizontal="center"/>
    </xf>
    <xf numFmtId="9" fontId="54" fillId="5" borderId="14" xfId="1" applyFont="1" applyFill="1" applyBorder="1" applyAlignment="1">
      <alignment horizontal="center"/>
    </xf>
    <xf numFmtId="185" fontId="54" fillId="5" borderId="14" xfId="0" applyNumberFormat="1" applyFont="1" applyFill="1" applyBorder="1" applyAlignment="1">
      <alignment horizontal="center"/>
    </xf>
    <xf numFmtId="0" fontId="54" fillId="0" borderId="14" xfId="0" applyFont="1" applyBorder="1"/>
    <xf numFmtId="185" fontId="54" fillId="0" borderId="14" xfId="0" applyNumberFormat="1" applyFont="1" applyBorder="1"/>
    <xf numFmtId="202" fontId="10" fillId="0" borderId="0" xfId="0" applyNumberFormat="1" applyFont="1" applyAlignment="1">
      <alignment horizontal="left"/>
    </xf>
    <xf numFmtId="0" fontId="5" fillId="0" borderId="14" xfId="0" applyFont="1" applyBorder="1" applyAlignment="1">
      <alignment horizontal="center"/>
    </xf>
    <xf numFmtId="9" fontId="5" fillId="0" borderId="14" xfId="1" applyFont="1" applyBorder="1" applyAlignment="1">
      <alignment horizontal="center"/>
    </xf>
    <xf numFmtId="170" fontId="5" fillId="0" borderId="14" xfId="0" applyNumberFormat="1" applyFont="1" applyBorder="1" applyAlignment="1">
      <alignment horizontal="center"/>
    </xf>
    <xf numFmtId="0" fontId="5" fillId="0" borderId="13" xfId="0" applyFont="1" applyBorder="1"/>
    <xf numFmtId="0" fontId="5" fillId="0" borderId="13" xfId="0" applyFont="1" applyBorder="1" applyAlignment="1">
      <alignment horizontal="center"/>
    </xf>
    <xf numFmtId="0" fontId="34" fillId="2" borderId="0" xfId="0" applyFont="1" applyFill="1"/>
    <xf numFmtId="0" fontId="55" fillId="0" borderId="14" xfId="0" applyFont="1" applyBorder="1" applyAlignment="1">
      <alignment horizontal="left" vertical="center" wrapText="1"/>
    </xf>
    <xf numFmtId="0" fontId="56" fillId="0" borderId="14" xfId="0" applyFont="1" applyBorder="1" applyAlignment="1">
      <alignment horizontal="left" vertical="center" wrapText="1"/>
    </xf>
    <xf numFmtId="171" fontId="7" fillId="5" borderId="0" xfId="0" applyNumberFormat="1" applyFont="1" applyFill="1" applyAlignment="1">
      <alignment horizontal="right"/>
    </xf>
    <xf numFmtId="0" fontId="42" fillId="0" borderId="0" xfId="0" applyFont="1" applyAlignment="1">
      <alignment horizontal="center"/>
    </xf>
    <xf numFmtId="0" fontId="5" fillId="0" borderId="4" xfId="0" applyFont="1" applyBorder="1"/>
    <xf numFmtId="0" fontId="10" fillId="2" borderId="0" xfId="0" applyFont="1" applyFill="1"/>
    <xf numFmtId="0" fontId="10" fillId="0" borderId="28" xfId="0" applyFont="1" applyBorder="1"/>
    <xf numFmtId="0" fontId="10" fillId="0" borderId="26" xfId="0" applyFont="1" applyBorder="1"/>
    <xf numFmtId="167" fontId="7" fillId="5" borderId="0" xfId="0" applyNumberFormat="1" applyFont="1" applyFill="1"/>
    <xf numFmtId="204" fontId="5" fillId="0" borderId="14" xfId="0" applyNumberFormat="1" applyFont="1" applyBorder="1" applyAlignment="1">
      <alignment horizontal="right"/>
    </xf>
    <xf numFmtId="0" fontId="10" fillId="5" borderId="14" xfId="0" applyFont="1" applyFill="1" applyBorder="1" applyAlignment="1">
      <alignment horizontal="center"/>
    </xf>
    <xf numFmtId="185" fontId="10" fillId="0" borderId="0" xfId="0" applyNumberFormat="1" applyFont="1"/>
    <xf numFmtId="202" fontId="10" fillId="0" borderId="0" xfId="0" applyNumberFormat="1" applyFont="1"/>
    <xf numFmtId="171" fontId="10" fillId="0" borderId="0" xfId="0" applyNumberFormat="1" applyFont="1"/>
    <xf numFmtId="0" fontId="51" fillId="0" borderId="0" xfId="0" applyFont="1"/>
    <xf numFmtId="0" fontId="51" fillId="0" borderId="0" xfId="8" applyFont="1"/>
    <xf numFmtId="0" fontId="7" fillId="0" borderId="0" xfId="0" applyFont="1"/>
    <xf numFmtId="0" fontId="57" fillId="17" borderId="14" xfId="0" applyFont="1" applyFill="1" applyBorder="1"/>
    <xf numFmtId="0" fontId="7" fillId="17" borderId="14" xfId="0" applyFont="1" applyFill="1" applyBorder="1"/>
    <xf numFmtId="193" fontId="7" fillId="17" borderId="14" xfId="0" applyNumberFormat="1" applyFont="1" applyFill="1" applyBorder="1"/>
    <xf numFmtId="0" fontId="2" fillId="0" borderId="14" xfId="8" applyBorder="1"/>
    <xf numFmtId="9" fontId="2" fillId="0" borderId="14" xfId="8" applyNumberFormat="1" applyBorder="1"/>
    <xf numFmtId="3" fontId="2" fillId="0" borderId="14" xfId="8" applyNumberFormat="1" applyBorder="1"/>
    <xf numFmtId="10" fontId="2" fillId="0" borderId="14" xfId="8" applyNumberFormat="1" applyBorder="1"/>
    <xf numFmtId="10" fontId="0" fillId="0" borderId="14" xfId="9" applyNumberFormat="1" applyFont="1" applyBorder="1"/>
    <xf numFmtId="0" fontId="1" fillId="0" borderId="14" xfId="8" applyFont="1" applyBorder="1"/>
    <xf numFmtId="0" fontId="57" fillId="17" borderId="14" xfId="8" applyFont="1" applyFill="1" applyBorder="1"/>
    <xf numFmtId="0" fontId="45" fillId="17" borderId="14" xfId="8" applyFont="1" applyFill="1" applyBorder="1"/>
    <xf numFmtId="191" fontId="1" fillId="0" borderId="14" xfId="9" applyNumberFormat="1" applyFont="1" applyBorder="1" applyAlignment="1">
      <alignment horizontal="right" vertical="top" wrapText="1"/>
    </xf>
    <xf numFmtId="10" fontId="1" fillId="0" borderId="14" xfId="9" applyNumberFormat="1" applyFont="1" applyBorder="1" applyAlignment="1">
      <alignment horizontal="right" vertical="top" wrapText="1"/>
    </xf>
    <xf numFmtId="10" fontId="1" fillId="0" borderId="14" xfId="9" applyNumberFormat="1" applyFont="1" applyBorder="1"/>
    <xf numFmtId="191" fontId="1" fillId="0" borderId="14" xfId="8" applyNumberFormat="1" applyFont="1" applyBorder="1"/>
    <xf numFmtId="193" fontId="5" fillId="0" borderId="14" xfId="0" applyNumberFormat="1" applyFont="1" applyBorder="1"/>
    <xf numFmtId="197" fontId="5" fillId="0" borderId="0" xfId="0" applyNumberFormat="1" applyFont="1"/>
    <xf numFmtId="179" fontId="58" fillId="0" borderId="0" xfId="0" applyNumberFormat="1" applyFont="1" applyAlignment="1">
      <alignment horizontal="right"/>
    </xf>
    <xf numFmtId="4" fontId="0" fillId="0" borderId="0" xfId="0" applyNumberFormat="1"/>
    <xf numFmtId="0" fontId="1" fillId="0" borderId="14" xfId="0" applyFont="1" applyBorder="1"/>
    <xf numFmtId="1" fontId="1" fillId="0" borderId="14" xfId="0" applyNumberFormat="1" applyFont="1" applyBorder="1"/>
    <xf numFmtId="1" fontId="1" fillId="0" borderId="25" xfId="0" applyNumberFormat="1" applyFont="1" applyBorder="1"/>
    <xf numFmtId="0" fontId="1" fillId="0" borderId="20" xfId="0" applyFont="1" applyBorder="1" applyAlignment="1">
      <alignment horizontal="left"/>
    </xf>
    <xf numFmtId="43" fontId="1" fillId="0" borderId="0" xfId="2" applyFont="1"/>
    <xf numFmtId="10" fontId="56" fillId="0" borderId="14" xfId="1" applyNumberFormat="1" applyFont="1" applyBorder="1" applyAlignment="1">
      <alignment horizontal="left" vertical="center" wrapText="1"/>
    </xf>
    <xf numFmtId="0" fontId="34" fillId="18" borderId="29" xfId="0" applyFont="1" applyFill="1" applyBorder="1"/>
    <xf numFmtId="0" fontId="34" fillId="18" borderId="0" xfId="0" applyFont="1" applyFill="1"/>
    <xf numFmtId="0" fontId="34" fillId="18" borderId="30" xfId="0" applyFont="1" applyFill="1" applyBorder="1"/>
    <xf numFmtId="0" fontId="34" fillId="18" borderId="31" xfId="0" applyFont="1" applyFill="1" applyBorder="1"/>
    <xf numFmtId="164" fontId="10" fillId="0" borderId="0" xfId="0" applyNumberFormat="1" applyFont="1"/>
    <xf numFmtId="205" fontId="5" fillId="0" borderId="14" xfId="2" applyNumberFormat="1" applyFont="1" applyBorder="1"/>
    <xf numFmtId="9" fontId="5" fillId="0" borderId="14" xfId="0" applyNumberFormat="1" applyFont="1" applyBorder="1"/>
    <xf numFmtId="206" fontId="37" fillId="0" borderId="0" xfId="1" applyNumberFormat="1" applyFont="1" applyAlignment="1">
      <alignment horizontal="right"/>
    </xf>
    <xf numFmtId="0" fontId="7" fillId="2" borderId="1" xfId="0" applyFont="1" applyFill="1" applyBorder="1" applyAlignment="1">
      <alignment horizontal="centerContinuous"/>
    </xf>
    <xf numFmtId="168" fontId="7" fillId="2" borderId="0" xfId="0" applyNumberFormat="1" applyFont="1" applyFill="1" applyAlignment="1">
      <alignment horizontal="centerContinuous"/>
    </xf>
    <xf numFmtId="168" fontId="7" fillId="2" borderId="2" xfId="0" applyNumberFormat="1" applyFont="1" applyFill="1" applyBorder="1" applyAlignment="1">
      <alignment horizontal="centerContinuous"/>
    </xf>
    <xf numFmtId="0" fontId="7" fillId="2" borderId="1" xfId="0" applyFont="1" applyFill="1" applyBorder="1" applyAlignment="1">
      <alignment horizontal="right"/>
    </xf>
    <xf numFmtId="168" fontId="7" fillId="2" borderId="2" xfId="0" applyNumberFormat="1" applyFont="1" applyFill="1" applyBorder="1" applyAlignment="1">
      <alignment horizontal="right"/>
    </xf>
    <xf numFmtId="180" fontId="10" fillId="0" borderId="0" xfId="0" applyNumberFormat="1" applyFont="1" applyAlignment="1">
      <alignment horizontal="right"/>
    </xf>
    <xf numFmtId="176" fontId="10" fillId="0" borderId="0" xfId="0" applyNumberFormat="1" applyFont="1" applyAlignment="1">
      <alignment horizontal="right"/>
    </xf>
    <xf numFmtId="180" fontId="5" fillId="0" borderId="0" xfId="0" applyNumberFormat="1" applyFont="1" applyAlignment="1">
      <alignment horizontal="right"/>
    </xf>
    <xf numFmtId="173" fontId="10" fillId="0" borderId="0" xfId="0" applyNumberFormat="1" applyFont="1" applyAlignment="1">
      <alignment horizontal="right"/>
    </xf>
    <xf numFmtId="169" fontId="11" fillId="0" borderId="3" xfId="0" applyNumberFormat="1" applyFont="1" applyBorder="1" applyAlignment="1">
      <alignment horizontal="right"/>
    </xf>
    <xf numFmtId="176" fontId="11" fillId="0" borderId="3" xfId="0" applyNumberFormat="1" applyFont="1" applyBorder="1" applyAlignment="1">
      <alignment horizontal="right"/>
    </xf>
    <xf numFmtId="180" fontId="11" fillId="0" borderId="3" xfId="0" applyNumberFormat="1" applyFont="1" applyBorder="1" applyAlignment="1">
      <alignment horizontal="right"/>
    </xf>
    <xf numFmtId="180" fontId="11" fillId="0" borderId="0" xfId="0" applyNumberFormat="1" applyFont="1" applyAlignment="1">
      <alignment horizontal="right"/>
    </xf>
    <xf numFmtId="169" fontId="6" fillId="0" borderId="0" xfId="0" applyNumberFormat="1" applyFont="1" applyAlignment="1">
      <alignment horizontal="right"/>
    </xf>
    <xf numFmtId="190" fontId="5" fillId="0" borderId="0" xfId="0" applyNumberFormat="1" applyFont="1"/>
    <xf numFmtId="14" fontId="56" fillId="0" borderId="14" xfId="0" applyNumberFormat="1" applyFont="1" applyBorder="1" applyAlignment="1">
      <alignment horizontal="left"/>
    </xf>
    <xf numFmtId="14" fontId="56" fillId="0" borderId="14" xfId="0" applyNumberFormat="1" applyFont="1" applyBorder="1" applyAlignment="1">
      <alignment horizontal="center"/>
    </xf>
    <xf numFmtId="0" fontId="59" fillId="5" borderId="14" xfId="0" applyFont="1" applyFill="1" applyBorder="1"/>
    <xf numFmtId="203" fontId="56" fillId="0" borderId="14" xfId="0" applyNumberFormat="1" applyFont="1" applyBorder="1" applyAlignment="1">
      <alignment horizontal="center"/>
    </xf>
    <xf numFmtId="10" fontId="60" fillId="5" borderId="14" xfId="0" applyNumberFormat="1" applyFont="1" applyFill="1" applyBorder="1"/>
    <xf numFmtId="203" fontId="56" fillId="0" borderId="14" xfId="0" applyNumberFormat="1" applyFont="1" applyBorder="1" applyAlignment="1">
      <alignment horizontal="left"/>
    </xf>
    <xf numFmtId="9" fontId="60" fillId="5" borderId="14" xfId="0" applyNumberFormat="1" applyFont="1" applyFill="1" applyBorder="1"/>
    <xf numFmtId="0" fontId="60" fillId="5" borderId="14" xfId="0" applyFont="1" applyFill="1" applyBorder="1"/>
    <xf numFmtId="10" fontId="5" fillId="0" borderId="12" xfId="0" applyNumberFormat="1" applyFont="1" applyBorder="1" applyAlignment="1">
      <alignment horizontal="center"/>
    </xf>
    <xf numFmtId="0" fontId="54" fillId="0" borderId="0" xfId="0" applyFont="1" applyAlignment="1">
      <alignment horizontal="center"/>
    </xf>
    <xf numFmtId="185" fontId="54" fillId="0" borderId="0" xfId="0" applyNumberFormat="1" applyFont="1" applyAlignment="1">
      <alignment horizontal="center"/>
    </xf>
    <xf numFmtId="185" fontId="54" fillId="0" borderId="0" xfId="0" applyNumberFormat="1" applyFont="1"/>
    <xf numFmtId="186" fontId="1" fillId="0" borderId="0" xfId="1" applyNumberFormat="1" applyFont="1"/>
    <xf numFmtId="0" fontId="31" fillId="14" borderId="0" xfId="3" applyFont="1" applyFill="1" applyAlignment="1">
      <alignment horizontal="left" vertical="top" wrapText="1"/>
    </xf>
    <xf numFmtId="0" fontId="4" fillId="0" borderId="0" xfId="3" applyAlignment="1">
      <alignment horizontal="left" vertical="top" wrapText="1"/>
    </xf>
    <xf numFmtId="0" fontId="4" fillId="0" borderId="0" xfId="3" applyAlignment="1">
      <alignment horizontal="center"/>
    </xf>
    <xf numFmtId="0" fontId="30" fillId="0" borderId="0" xfId="3" applyFont="1" applyAlignment="1">
      <alignment horizontal="left"/>
    </xf>
    <xf numFmtId="0" fontId="7" fillId="2" borderId="0" xfId="0" applyFont="1" applyFill="1" applyAlignment="1">
      <alignment horizontal="center" vertical="center"/>
    </xf>
    <xf numFmtId="0" fontId="7" fillId="2" borderId="0" xfId="0" applyFont="1" applyFill="1" applyAlignment="1">
      <alignment horizontal="left" vertical="center"/>
    </xf>
    <xf numFmtId="0" fontId="7" fillId="2" borderId="2" xfId="0" applyFont="1" applyFill="1" applyBorder="1" applyAlignment="1">
      <alignment horizontal="left" vertical="center"/>
    </xf>
    <xf numFmtId="0" fontId="7" fillId="2" borderId="9" xfId="0" applyFont="1" applyFill="1" applyBorder="1" applyAlignment="1">
      <alignment horizontal="right" vertical="center" wrapText="1"/>
    </xf>
    <xf numFmtId="0" fontId="7" fillId="2" borderId="0" xfId="0" applyFont="1" applyFill="1" applyAlignment="1">
      <alignment horizontal="right" vertical="center" wrapText="1"/>
    </xf>
    <xf numFmtId="0" fontId="9" fillId="0" borderId="14" xfId="0" applyFont="1" applyBorder="1" applyAlignment="1">
      <alignment horizontal="right" vertical="center" textRotation="90" wrapText="1"/>
    </xf>
    <xf numFmtId="0" fontId="10" fillId="0" borderId="4" xfId="0" applyFont="1" applyBorder="1"/>
    <xf numFmtId="0" fontId="10" fillId="0" borderId="5" xfId="0" applyFont="1" applyBorder="1"/>
    <xf numFmtId="0" fontId="10" fillId="0" borderId="6" xfId="0" applyFont="1" applyBorder="1"/>
    <xf numFmtId="0" fontId="34" fillId="5" borderId="0" xfId="0" applyFont="1" applyFill="1" applyAlignment="1">
      <alignment horizontal="left" vertical="center"/>
    </xf>
    <xf numFmtId="0" fontId="5" fillId="5" borderId="0" xfId="0" applyFont="1" applyFill="1" applyAlignment="1">
      <alignment horizontal="left" vertical="center"/>
    </xf>
    <xf numFmtId="0" fontId="34" fillId="5" borderId="0" xfId="0" applyFont="1" applyFill="1" applyAlignment="1">
      <alignment horizontal="center" vertical="center"/>
    </xf>
    <xf numFmtId="0" fontId="34" fillId="2" borderId="0" xfId="0" applyFont="1" applyFill="1" applyAlignment="1">
      <alignment horizontal="center" vertical="center"/>
    </xf>
    <xf numFmtId="0" fontId="10" fillId="0" borderId="0" xfId="0" applyFont="1"/>
    <xf numFmtId="0" fontId="10" fillId="0" borderId="13" xfId="0" applyFont="1" applyBorder="1"/>
    <xf numFmtId="0" fontId="10" fillId="0" borderId="7" xfId="0" applyFont="1" applyBorder="1"/>
    <xf numFmtId="0" fontId="10" fillId="0" borderId="11" xfId="0" applyFont="1" applyBorder="1"/>
    <xf numFmtId="0" fontId="10" fillId="0" borderId="8" xfId="0" applyFont="1" applyBorder="1"/>
    <xf numFmtId="0" fontId="0" fillId="0" borderId="0" xfId="0" applyAlignment="1">
      <alignment horizontal="center"/>
    </xf>
    <xf numFmtId="0" fontId="30" fillId="0" borderId="0" xfId="0" applyFont="1" applyAlignment="1">
      <alignment horizontal="left"/>
    </xf>
    <xf numFmtId="0" fontId="0" fillId="0" borderId="0" xfId="0" applyAlignment="1">
      <alignment horizontal="left" vertical="top" wrapText="1"/>
    </xf>
    <xf numFmtId="0" fontId="61" fillId="0" borderId="0" xfId="0" applyFont="1"/>
  </cellXfs>
  <cellStyles count="10">
    <cellStyle name="Comma" xfId="2" builtinId="3"/>
    <cellStyle name="Invisible" xfId="7" xr:uid="{2F9595CF-C1BC-4047-B12F-214501568465}"/>
    <cellStyle name="Normal" xfId="0" builtinId="0"/>
    <cellStyle name="Normal 2" xfId="3" xr:uid="{5D7DEB35-F388-FB4E-AF5F-7FEC627C0194}"/>
    <cellStyle name="Normal 3" xfId="6" xr:uid="{2B913E47-8FBD-463E-A0A7-458B675227FE}"/>
    <cellStyle name="Normal 4" xfId="8" xr:uid="{B1760289-D744-4C44-B9AB-DAD9A6E1777D}"/>
    <cellStyle name="Per cent" xfId="1" builtinId="5"/>
    <cellStyle name="Per cent 2" xfId="4" xr:uid="{24147B68-BF23-0C4F-8405-51889C925F4F}"/>
    <cellStyle name="Per cent 3" xfId="5" xr:uid="{D4E0E159-DB12-5B40-AE1E-7152CF52F2B3}"/>
    <cellStyle name="Per cent 4" xfId="9" xr:uid="{32839683-A73D-0744-B966-9D9D14E1D496}"/>
  </cellStyles>
  <dxfs count="0"/>
  <tableStyles count="0" defaultTableStyle="TableStyleMedium2" defaultPivotStyle="PivotStyleLight16"/>
  <colors>
    <mruColors>
      <color rgb="FF000000"/>
      <color rgb="FF0000FF"/>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26" Type="http://schemas.microsoft.com/office/2017/06/relationships/rdRichValueTypes" Target="richData/rdRichValueTypes.xml"/><Relationship Id="rId3" Type="http://schemas.openxmlformats.org/officeDocument/2006/relationships/worksheet" Target="worksheets/sheet3.xml"/><Relationship Id="rId21" Type="http://schemas.microsoft.com/office/2017/06/relationships/rdRichValue" Target="richData/rdrichvalue.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5" Type="http://schemas.microsoft.com/office/2017/06/relationships/rdSupportingPropertyBag" Target="richData/rdsupportingpropertybag.xml"/><Relationship Id="rId2" Type="http://schemas.openxmlformats.org/officeDocument/2006/relationships/worksheet" Target="worksheets/sheet2.xml"/><Relationship Id="rId16" Type="http://schemas.openxmlformats.org/officeDocument/2006/relationships/externalLink" Target="externalLinks/externalLink1.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06/relationships/rdSupportingPropertyBagStructure" Target="richData/rdsupportingpropertybagstructure.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17/06/relationships/richStyles" Target="richData/richStyles.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17/06/relationships/rdRichValueStructure" Target="richData/rdrichvaluestructure.xml"/><Relationship Id="rId27"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Valuation!$V$11</c:f>
              <c:strCache>
                <c:ptCount val="1"/>
              </c:strCache>
            </c:strRef>
          </c:tx>
          <c:spPr>
            <a:solidFill>
              <a:schemeClr val="accent1"/>
            </a:solidFill>
            <a:ln>
              <a:noFill/>
            </a:ln>
            <a:effectLst/>
          </c:spPr>
          <c:invertIfNegative val="0"/>
          <c:cat>
            <c:numRef>
              <c:f>Valuation!$U$12:$U$15</c:f>
              <c:numCache>
                <c:formatCode>General</c:formatCode>
                <c:ptCount val="4"/>
              </c:numCache>
            </c:numRef>
          </c:cat>
          <c:val>
            <c:numRef>
              <c:f>Valuation!$V$12:$V$15</c:f>
              <c:numCache>
                <c:formatCode>"$"#,##0.00;\("$"#,##0.00\);"-"</c:formatCode>
                <c:ptCount val="4"/>
              </c:numCache>
            </c:numRef>
          </c:val>
          <c:extLst>
            <c:ext xmlns:c16="http://schemas.microsoft.com/office/drawing/2014/chart" uri="{C3380CC4-5D6E-409C-BE32-E72D297353CC}">
              <c16:uniqueId val="{00000000-B2EA-4C92-BC63-9304CC1DF1DE}"/>
            </c:ext>
          </c:extLst>
        </c:ser>
        <c:ser>
          <c:idx val="1"/>
          <c:order val="1"/>
          <c:tx>
            <c:strRef>
              <c:f>Valuation!$W$11</c:f>
              <c:strCache>
                <c:ptCount val="1"/>
              </c:strCache>
            </c:strRef>
          </c:tx>
          <c:spPr>
            <a:solidFill>
              <a:schemeClr val="accent2"/>
            </a:solidFill>
            <a:ln>
              <a:noFill/>
            </a:ln>
            <a:effectLst/>
          </c:spPr>
          <c:invertIfNegative val="0"/>
          <c:cat>
            <c:numRef>
              <c:f>Valuation!$U$12:$U$15</c:f>
              <c:numCache>
                <c:formatCode>General</c:formatCode>
                <c:ptCount val="4"/>
              </c:numCache>
            </c:numRef>
          </c:cat>
          <c:val>
            <c:numRef>
              <c:f>Valuation!$W$12:$W$15</c:f>
              <c:numCache>
                <c:formatCode>"$"#,##0.00</c:formatCode>
                <c:ptCount val="4"/>
              </c:numCache>
            </c:numRef>
          </c:val>
          <c:extLst>
            <c:ext xmlns:c16="http://schemas.microsoft.com/office/drawing/2014/chart" uri="{C3380CC4-5D6E-409C-BE32-E72D297353CC}">
              <c16:uniqueId val="{00000002-B2EA-4C92-BC63-9304CC1DF1DE}"/>
            </c:ext>
          </c:extLst>
        </c:ser>
        <c:ser>
          <c:idx val="2"/>
          <c:order val="2"/>
          <c:tx>
            <c:strRef>
              <c:f>Valuation!$X$11</c:f>
              <c:strCache>
                <c:ptCount val="1"/>
              </c:strCache>
            </c:strRef>
          </c:tx>
          <c:spPr>
            <a:solidFill>
              <a:schemeClr val="accent3"/>
            </a:solidFill>
            <a:ln>
              <a:noFill/>
            </a:ln>
            <a:effectLst/>
          </c:spPr>
          <c:invertIfNegative val="0"/>
          <c:cat>
            <c:numRef>
              <c:f>Valuation!$U$12:$U$15</c:f>
              <c:numCache>
                <c:formatCode>General</c:formatCode>
                <c:ptCount val="4"/>
              </c:numCache>
            </c:numRef>
          </c:cat>
          <c:val>
            <c:numRef>
              <c:f>Valuation!$X$12:$X$15</c:f>
              <c:numCache>
                <c:formatCode>"$"#,##0.00</c:formatCode>
                <c:ptCount val="4"/>
              </c:numCache>
            </c:numRef>
          </c:val>
          <c:extLst>
            <c:ext xmlns:c16="http://schemas.microsoft.com/office/drawing/2014/chart" uri="{C3380CC4-5D6E-409C-BE32-E72D297353CC}">
              <c16:uniqueId val="{00000004-B2EA-4C92-BC63-9304CC1DF1DE}"/>
            </c:ext>
          </c:extLst>
        </c:ser>
        <c:dLbls>
          <c:showLegendKey val="0"/>
          <c:showVal val="0"/>
          <c:showCatName val="0"/>
          <c:showSerName val="0"/>
          <c:showPercent val="0"/>
          <c:showBubbleSize val="0"/>
        </c:dLbls>
        <c:gapWidth val="219"/>
        <c:overlap val="-27"/>
        <c:axId val="1705537543"/>
        <c:axId val="1705539591"/>
      </c:barChart>
      <c:catAx>
        <c:axId val="17055375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5539591"/>
        <c:crosses val="autoZero"/>
        <c:auto val="1"/>
        <c:lblAlgn val="ctr"/>
        <c:lblOffset val="100"/>
        <c:noMultiLvlLbl val="0"/>
      </c:catAx>
      <c:valAx>
        <c:axId val="1705539591"/>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quot;$&quot;#,##0.00\);&quot;-&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553754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GB"/>
              <a:t>PV of</a:t>
            </a:r>
            <a:r>
              <a:rPr lang="en-GB" baseline="0"/>
              <a:t> forecasted FCFF ($M)</a:t>
            </a:r>
            <a:endParaRPr lang="en-GB"/>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GB"/>
        </a:p>
      </c:txPr>
    </c:title>
    <c:autoTitleDeleted val="0"/>
    <c:plotArea>
      <c:layout/>
      <c:barChart>
        <c:barDir val="col"/>
        <c:grouping val="clustered"/>
        <c:varyColors val="0"/>
        <c:ser>
          <c:idx val="0"/>
          <c:order val="0"/>
          <c:tx>
            <c:strRef>
              <c:f>'DCF '!$AQ$19</c:f>
              <c:strCache>
                <c:ptCount val="1"/>
                <c:pt idx="0">
                  <c:v>PV of FCFF ($m)</c:v>
                </c:pt>
              </c:strCache>
            </c:strRef>
          </c:tx>
          <c:spPr>
            <a:solidFill>
              <a:schemeClr val="accent6"/>
            </a:solidFill>
            <a:ln w="22225">
              <a:solidFill>
                <a:schemeClr val="accent6"/>
              </a:solidFill>
            </a:ln>
            <a:effectLst/>
          </c:spPr>
          <c:invertIfNegative val="0"/>
          <c:dPt>
            <c:idx val="0"/>
            <c:invertIfNegative val="0"/>
            <c:bubble3D val="0"/>
            <c:spPr>
              <a:solidFill>
                <a:srgbClr val="FF0000"/>
              </a:solidFill>
              <a:ln w="22225">
                <a:solidFill>
                  <a:srgbClr val="FF0000"/>
                </a:solidFill>
              </a:ln>
              <a:effectLst/>
            </c:spPr>
            <c:extLst>
              <c:ext xmlns:c16="http://schemas.microsoft.com/office/drawing/2014/chart" uri="{C3380CC4-5D6E-409C-BE32-E72D297353CC}">
                <c16:uniqueId val="{00000009-CBCA-8940-AAD8-F81C8B111FC0}"/>
              </c:ext>
            </c:extLst>
          </c:dPt>
          <c:dPt>
            <c:idx val="1"/>
            <c:invertIfNegative val="0"/>
            <c:bubble3D val="0"/>
            <c:spPr>
              <a:solidFill>
                <a:srgbClr val="FF0000"/>
              </a:solidFill>
              <a:ln w="22225">
                <a:solidFill>
                  <a:srgbClr val="FF0000"/>
                </a:solidFill>
              </a:ln>
              <a:effectLst/>
            </c:spPr>
            <c:extLst>
              <c:ext xmlns:c16="http://schemas.microsoft.com/office/drawing/2014/chart" uri="{C3380CC4-5D6E-409C-BE32-E72D297353CC}">
                <c16:uniqueId val="{00000008-CBCA-8940-AAD8-F81C8B111FC0}"/>
              </c:ext>
            </c:extLst>
          </c:dPt>
          <c:dPt>
            <c:idx val="2"/>
            <c:invertIfNegative val="0"/>
            <c:bubble3D val="0"/>
            <c:spPr>
              <a:solidFill>
                <a:srgbClr val="FF0000"/>
              </a:solidFill>
              <a:ln w="22225">
                <a:solidFill>
                  <a:srgbClr val="FF0000"/>
                </a:solidFill>
              </a:ln>
              <a:effectLst/>
            </c:spPr>
            <c:extLst>
              <c:ext xmlns:c16="http://schemas.microsoft.com/office/drawing/2014/chart" uri="{C3380CC4-5D6E-409C-BE32-E72D297353CC}">
                <c16:uniqueId val="{00000007-CBCA-8940-AAD8-F81C8B111FC0}"/>
              </c:ext>
            </c:extLst>
          </c:dPt>
          <c:dPt>
            <c:idx val="3"/>
            <c:invertIfNegative val="0"/>
            <c:bubble3D val="0"/>
            <c:spPr>
              <a:solidFill>
                <a:srgbClr val="FF0000"/>
              </a:solidFill>
              <a:ln w="22225">
                <a:solidFill>
                  <a:srgbClr val="FF0000"/>
                </a:solidFill>
              </a:ln>
              <a:effectLst/>
            </c:spPr>
            <c:extLst>
              <c:ext xmlns:c16="http://schemas.microsoft.com/office/drawing/2014/chart" uri="{C3380CC4-5D6E-409C-BE32-E72D297353CC}">
                <c16:uniqueId val="{00000006-CBCA-8940-AAD8-F81C8B111FC0}"/>
              </c:ext>
            </c:extLst>
          </c:dPt>
          <c:dPt>
            <c:idx val="4"/>
            <c:invertIfNegative val="0"/>
            <c:bubble3D val="0"/>
            <c:spPr>
              <a:solidFill>
                <a:srgbClr val="FF0000"/>
              </a:solidFill>
              <a:ln w="22225">
                <a:solidFill>
                  <a:srgbClr val="FF0000"/>
                </a:solidFill>
              </a:ln>
              <a:effectLst/>
            </c:spPr>
            <c:extLst>
              <c:ext xmlns:c16="http://schemas.microsoft.com/office/drawing/2014/chart" uri="{C3380CC4-5D6E-409C-BE32-E72D297353CC}">
                <c16:uniqueId val="{00000005-CBCA-8940-AAD8-F81C8B111FC0}"/>
              </c:ext>
            </c:extLst>
          </c:dPt>
          <c:dPt>
            <c:idx val="5"/>
            <c:invertIfNegative val="0"/>
            <c:bubble3D val="0"/>
            <c:spPr>
              <a:solidFill>
                <a:srgbClr val="FF0000"/>
              </a:solidFill>
              <a:ln w="22225">
                <a:solidFill>
                  <a:srgbClr val="FF0000"/>
                </a:solidFill>
              </a:ln>
              <a:effectLst/>
            </c:spPr>
            <c:extLst>
              <c:ext xmlns:c16="http://schemas.microsoft.com/office/drawing/2014/chart" uri="{C3380CC4-5D6E-409C-BE32-E72D297353CC}">
                <c16:uniqueId val="{00000004-CBCA-8940-AAD8-F81C8B111FC0}"/>
              </c:ext>
            </c:extLst>
          </c:dPt>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'DCF '!$AP$20:$AP$29</c:f>
              <c:strCache>
                <c:ptCount val="10"/>
                <c:pt idx="0">
                  <c:v>2026E</c:v>
                </c:pt>
                <c:pt idx="1">
                  <c:v>2027E</c:v>
                </c:pt>
                <c:pt idx="2">
                  <c:v>2028E</c:v>
                </c:pt>
                <c:pt idx="3">
                  <c:v>2029E</c:v>
                </c:pt>
                <c:pt idx="4">
                  <c:v>2030E</c:v>
                </c:pt>
                <c:pt idx="5">
                  <c:v>2031E</c:v>
                </c:pt>
                <c:pt idx="6">
                  <c:v>2032E</c:v>
                </c:pt>
                <c:pt idx="7">
                  <c:v>2033E</c:v>
                </c:pt>
                <c:pt idx="8">
                  <c:v>2034E</c:v>
                </c:pt>
                <c:pt idx="9">
                  <c:v>2035E</c:v>
                </c:pt>
              </c:strCache>
            </c:strRef>
          </c:cat>
          <c:val>
            <c:numRef>
              <c:f>'DCF '!$AQ$20:$AQ$29</c:f>
              <c:numCache>
                <c:formatCode>_-* #,##0_-;\-* #,##0_-;_-* "-"??_-;_-@_-</c:formatCode>
                <c:ptCount val="10"/>
                <c:pt idx="0">
                  <c:v>-7754.8555553801798</c:v>
                </c:pt>
                <c:pt idx="1">
                  <c:v>-5894.8942051834802</c:v>
                </c:pt>
                <c:pt idx="2">
                  <c:v>-4623.0440180838605</c:v>
                </c:pt>
                <c:pt idx="3">
                  <c:v>-3360.8005744626003</c:v>
                </c:pt>
                <c:pt idx="4">
                  <c:v>-2105.4378409516098</c:v>
                </c:pt>
                <c:pt idx="5">
                  <c:v>-912.09660894196793</c:v>
                </c:pt>
                <c:pt idx="6">
                  <c:v>131.52778801577</c:v>
                </c:pt>
                <c:pt idx="7">
                  <c:v>1025.16602059663</c:v>
                </c:pt>
                <c:pt idx="8">
                  <c:v>1768.38384553331</c:v>
                </c:pt>
                <c:pt idx="9">
                  <c:v>2363.9479093551599</c:v>
                </c:pt>
              </c:numCache>
            </c:numRef>
          </c:val>
          <c:extLst>
            <c:ext xmlns:c16="http://schemas.microsoft.com/office/drawing/2014/chart" uri="{C3380CC4-5D6E-409C-BE32-E72D297353CC}">
              <c16:uniqueId val="{00000000-CBCA-8940-AAD8-F81C8B111FC0}"/>
            </c:ext>
          </c:extLst>
        </c:ser>
        <c:dLbls>
          <c:dLblPos val="outEnd"/>
          <c:showLegendKey val="0"/>
          <c:showVal val="1"/>
          <c:showCatName val="0"/>
          <c:showSerName val="0"/>
          <c:showPercent val="0"/>
          <c:showBubbleSize val="0"/>
        </c:dLbls>
        <c:gapWidth val="444"/>
        <c:axId val="355735904"/>
        <c:axId val="113189328"/>
      </c:barChart>
      <c:lineChart>
        <c:grouping val="standard"/>
        <c:varyColors val="0"/>
        <c:ser>
          <c:idx val="1"/>
          <c:order val="1"/>
          <c:tx>
            <c:strRef>
              <c:f>'DCF '!$AR$19</c:f>
              <c:strCache>
                <c:ptCount val="1"/>
              </c:strCache>
            </c:strRef>
          </c:tx>
          <c:spPr>
            <a:ln w="12700" cap="rnd">
              <a:solidFill>
                <a:schemeClr val="tx1"/>
              </a:solidFill>
              <a:round/>
            </a:ln>
            <a:effectLst/>
          </c:spPr>
          <c:marker>
            <c:symbol val="none"/>
          </c:marker>
          <c:val>
            <c:numRef>
              <c:f>'DCF '!$AR$20:$AR$29</c:f>
              <c:numCache>
                <c:formatCode>General</c:formatCode>
                <c:ptCount val="10"/>
              </c:numCache>
            </c:numRef>
          </c:val>
          <c:smooth val="0"/>
          <c:extLst>
            <c:ext xmlns:c16="http://schemas.microsoft.com/office/drawing/2014/chart" uri="{C3380CC4-5D6E-409C-BE32-E72D297353CC}">
              <c16:uniqueId val="{00000002-CBCA-8940-AAD8-F81C8B111FC0}"/>
            </c:ext>
          </c:extLst>
        </c:ser>
        <c:dLbls>
          <c:showLegendKey val="0"/>
          <c:showVal val="0"/>
          <c:showCatName val="0"/>
          <c:showSerName val="0"/>
          <c:showPercent val="0"/>
          <c:showBubbleSize val="0"/>
        </c:dLbls>
        <c:marker val="1"/>
        <c:smooth val="0"/>
        <c:axId val="355735904"/>
        <c:axId val="113189328"/>
      </c:lineChart>
      <c:catAx>
        <c:axId val="355735904"/>
        <c:scaling>
          <c:orientation val="minMax"/>
        </c:scaling>
        <c:delete val="0"/>
        <c:axPos val="b"/>
        <c:numFmt formatCode="General" sourceLinked="1"/>
        <c:majorTickMark val="none"/>
        <c:minorTickMark val="none"/>
        <c:tickLblPos val="low"/>
        <c:spPr>
          <a:noFill/>
          <a:ln w="12700" cap="flat" cmpd="sng" algn="ctr">
            <a:solidFill>
              <a:schemeClr val="tx1"/>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13189328"/>
        <c:crosses val="autoZero"/>
        <c:auto val="1"/>
        <c:lblAlgn val="ctr"/>
        <c:lblOffset val="100"/>
        <c:noMultiLvlLbl val="0"/>
      </c:catAx>
      <c:valAx>
        <c:axId val="113189328"/>
        <c:scaling>
          <c:orientation val="minMax"/>
        </c:scaling>
        <c:delete val="1"/>
        <c:axPos val="l"/>
        <c:numFmt formatCode="_-* #,##0_-;\-* #,##0_-;_-* &quot;-&quot;??_-;_-@_-" sourceLinked="1"/>
        <c:majorTickMark val="none"/>
        <c:minorTickMark val="none"/>
        <c:tickLblPos val="nextTo"/>
        <c:crossAx val="3557359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0.35323600174978131"/>
          <c:y val="4.16666666666666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'DCF '!$AQ$19</c:f>
              <c:strCache>
                <c:ptCount val="1"/>
                <c:pt idx="0">
                  <c:v>PV of FCFF ($m)</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'DCF '!$AP$20:$AP$29</c:f>
              <c:strCache>
                <c:ptCount val="10"/>
                <c:pt idx="0">
                  <c:v>2026E</c:v>
                </c:pt>
                <c:pt idx="1">
                  <c:v>2027E</c:v>
                </c:pt>
                <c:pt idx="2">
                  <c:v>2028E</c:v>
                </c:pt>
                <c:pt idx="3">
                  <c:v>2029E</c:v>
                </c:pt>
                <c:pt idx="4">
                  <c:v>2030E</c:v>
                </c:pt>
                <c:pt idx="5">
                  <c:v>2031E</c:v>
                </c:pt>
                <c:pt idx="6">
                  <c:v>2032E</c:v>
                </c:pt>
                <c:pt idx="7">
                  <c:v>2033E</c:v>
                </c:pt>
                <c:pt idx="8">
                  <c:v>2034E</c:v>
                </c:pt>
                <c:pt idx="9">
                  <c:v>2035E</c:v>
                </c:pt>
              </c:strCache>
            </c:strRef>
          </c:cat>
          <c:val>
            <c:numRef>
              <c:f>'DCF '!$AQ$20:$AQ$29</c:f>
              <c:numCache>
                <c:formatCode>_-* #,##0_-;\-* #,##0_-;_-* "-"??_-;_-@_-</c:formatCode>
                <c:ptCount val="10"/>
                <c:pt idx="0">
                  <c:v>-7754.8555553801798</c:v>
                </c:pt>
                <c:pt idx="1">
                  <c:v>-5894.8942051834802</c:v>
                </c:pt>
                <c:pt idx="2">
                  <c:v>-4623.0440180838605</c:v>
                </c:pt>
                <c:pt idx="3">
                  <c:v>-3360.8005744626003</c:v>
                </c:pt>
                <c:pt idx="4">
                  <c:v>-2105.4378409516098</c:v>
                </c:pt>
                <c:pt idx="5">
                  <c:v>-912.09660894196793</c:v>
                </c:pt>
                <c:pt idx="6">
                  <c:v>131.52778801577</c:v>
                </c:pt>
                <c:pt idx="7">
                  <c:v>1025.16602059663</c:v>
                </c:pt>
                <c:pt idx="8">
                  <c:v>1768.38384553331</c:v>
                </c:pt>
                <c:pt idx="9">
                  <c:v>2363.9479093551599</c:v>
                </c:pt>
              </c:numCache>
            </c:numRef>
          </c:val>
          <c:smooth val="0"/>
          <c:extLst>
            <c:ext xmlns:c16="http://schemas.microsoft.com/office/drawing/2014/chart" uri="{C3380CC4-5D6E-409C-BE32-E72D297353CC}">
              <c16:uniqueId val="{00000000-A2D1-B043-8890-F565D02ED0F2}"/>
            </c:ext>
          </c:extLst>
        </c:ser>
        <c:dLbls>
          <c:showLegendKey val="0"/>
          <c:showVal val="0"/>
          <c:showCatName val="0"/>
          <c:showSerName val="0"/>
          <c:showPercent val="0"/>
          <c:showBubbleSize val="0"/>
        </c:dLbls>
        <c:marker val="1"/>
        <c:smooth val="0"/>
        <c:axId val="1722774847"/>
        <c:axId val="11533552"/>
      </c:lineChart>
      <c:catAx>
        <c:axId val="1722774847"/>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33552"/>
        <c:crosses val="autoZero"/>
        <c:auto val="1"/>
        <c:lblAlgn val="ctr"/>
        <c:lblOffset val="100"/>
        <c:noMultiLvlLbl val="0"/>
      </c:catAx>
      <c:valAx>
        <c:axId val="11533552"/>
        <c:scaling>
          <c:orientation val="minMax"/>
        </c:scaling>
        <c:delete val="0"/>
        <c:axPos val="l"/>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27748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'DCF '!$AZ$50</c:f>
              <c:strCache>
                <c:ptCount val="1"/>
                <c:pt idx="0">
                  <c:v>Forecasted Revenue ($M)</c:v>
                </c:pt>
              </c:strCache>
            </c:strRef>
          </c:tx>
          <c:spPr>
            <a:ln w="28575" cap="rnd">
              <a:solidFill>
                <a:schemeClr val="accent6"/>
              </a:solidFill>
              <a:round/>
            </a:ln>
            <a:effectLst/>
          </c:spPr>
          <c:marker>
            <c:symbol val="circle"/>
            <c:size val="5"/>
            <c:spPr>
              <a:solidFill>
                <a:schemeClr val="tx1"/>
              </a:solidFill>
              <a:ln w="9525">
                <a:solidFill>
                  <a:schemeClr val="accent1"/>
                </a:solidFill>
              </a:ln>
              <a:effectLst/>
            </c:spPr>
          </c:marker>
          <c:cat>
            <c:strRef>
              <c:f>'DCF '!$AY$51:$AY$60</c:f>
              <c:strCache>
                <c:ptCount val="10"/>
                <c:pt idx="0">
                  <c:v>2026E</c:v>
                </c:pt>
                <c:pt idx="1">
                  <c:v>2027E</c:v>
                </c:pt>
                <c:pt idx="2">
                  <c:v>2028E</c:v>
                </c:pt>
                <c:pt idx="3">
                  <c:v>2029E</c:v>
                </c:pt>
                <c:pt idx="4">
                  <c:v>2030E</c:v>
                </c:pt>
                <c:pt idx="5">
                  <c:v>2031E</c:v>
                </c:pt>
                <c:pt idx="6">
                  <c:v>2032E</c:v>
                </c:pt>
                <c:pt idx="7">
                  <c:v>2033E</c:v>
                </c:pt>
                <c:pt idx="8">
                  <c:v>2034E</c:v>
                </c:pt>
                <c:pt idx="9">
                  <c:v>2035E</c:v>
                </c:pt>
              </c:strCache>
            </c:strRef>
          </c:cat>
          <c:val>
            <c:numRef>
              <c:f>'DCF '!$AZ$51:$AZ$60</c:f>
              <c:numCache>
                <c:formatCode>_-* #,##0_-;\-* #,##0_-;_-* "-"??_-;_-@_-</c:formatCode>
                <c:ptCount val="10"/>
                <c:pt idx="0">
                  <c:v>13076.91</c:v>
                </c:pt>
                <c:pt idx="1">
                  <c:v>14515.3701</c:v>
                </c:pt>
                <c:pt idx="2">
                  <c:v>16112.060811000001</c:v>
                </c:pt>
                <c:pt idx="3">
                  <c:v>17884.387500209999</c:v>
                </c:pt>
                <c:pt idx="4">
                  <c:v>19851.6701252331</c:v>
                </c:pt>
                <c:pt idx="5">
                  <c:v>21638.320438983701</c:v>
                </c:pt>
                <c:pt idx="6">
                  <c:v>23369.386074102302</c:v>
                </c:pt>
                <c:pt idx="7">
                  <c:v>25005.243099289499</c:v>
                </c:pt>
                <c:pt idx="8">
                  <c:v>26505.557685246898</c:v>
                </c:pt>
                <c:pt idx="9">
                  <c:v>27830.8355695092</c:v>
                </c:pt>
              </c:numCache>
            </c:numRef>
          </c:val>
          <c:smooth val="0"/>
          <c:extLst>
            <c:ext xmlns:c16="http://schemas.microsoft.com/office/drawing/2014/chart" uri="{C3380CC4-5D6E-409C-BE32-E72D297353CC}">
              <c16:uniqueId val="{00000000-2984-7C47-84C6-6A0C862ADCDB}"/>
            </c:ext>
          </c:extLst>
        </c:ser>
        <c:dLbls>
          <c:showLegendKey val="0"/>
          <c:showVal val="0"/>
          <c:showCatName val="0"/>
          <c:showSerName val="0"/>
          <c:showPercent val="0"/>
          <c:showBubbleSize val="0"/>
        </c:dLbls>
        <c:marker val="1"/>
        <c:smooth val="0"/>
        <c:axId val="17595424"/>
        <c:axId val="394519056"/>
      </c:lineChart>
      <c:catAx>
        <c:axId val="175954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4519056"/>
        <c:crosses val="autoZero"/>
        <c:auto val="1"/>
        <c:lblAlgn val="ctr"/>
        <c:lblOffset val="100"/>
        <c:noMultiLvlLbl val="0"/>
      </c:catAx>
      <c:valAx>
        <c:axId val="394519056"/>
        <c:scaling>
          <c:orientation val="minMax"/>
        </c:scaling>
        <c:delete val="0"/>
        <c:axPos val="l"/>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954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'DCF '!$AZ$67</c:f>
              <c:strCache>
                <c:ptCount val="1"/>
                <c:pt idx="0">
                  <c:v>YOY Growth %</c:v>
                </c:pt>
              </c:strCache>
            </c:strRef>
          </c:tx>
          <c:spPr>
            <a:solidFill>
              <a:schemeClr val="accent6"/>
            </a:solidFill>
            <a:ln>
              <a:noFill/>
            </a:ln>
            <a:effectLst/>
          </c:spPr>
          <c:invertIfNegative val="0"/>
          <c:cat>
            <c:strRef>
              <c:f>'DCF '!$AY$68:$AY$77</c:f>
              <c:strCache>
                <c:ptCount val="10"/>
                <c:pt idx="0">
                  <c:v>2026E</c:v>
                </c:pt>
                <c:pt idx="1">
                  <c:v>2027E</c:v>
                </c:pt>
                <c:pt idx="2">
                  <c:v>2028E</c:v>
                </c:pt>
                <c:pt idx="3">
                  <c:v>2029E</c:v>
                </c:pt>
                <c:pt idx="4">
                  <c:v>2030E</c:v>
                </c:pt>
                <c:pt idx="5">
                  <c:v>2031E</c:v>
                </c:pt>
                <c:pt idx="6">
                  <c:v>2032E</c:v>
                </c:pt>
                <c:pt idx="7">
                  <c:v>2033E</c:v>
                </c:pt>
                <c:pt idx="8">
                  <c:v>2034E</c:v>
                </c:pt>
                <c:pt idx="9">
                  <c:v>2035E</c:v>
                </c:pt>
              </c:strCache>
            </c:strRef>
          </c:cat>
          <c:val>
            <c:numRef>
              <c:f>'DCF '!$AZ$68:$AZ$77</c:f>
              <c:numCache>
                <c:formatCode>0%</c:formatCode>
                <c:ptCount val="10"/>
                <c:pt idx="0">
                  <c:v>0.11</c:v>
                </c:pt>
                <c:pt idx="1">
                  <c:v>0.11</c:v>
                </c:pt>
                <c:pt idx="2">
                  <c:v>0.11</c:v>
                </c:pt>
                <c:pt idx="3">
                  <c:v>0.11</c:v>
                </c:pt>
                <c:pt idx="4">
                  <c:v>0.11</c:v>
                </c:pt>
                <c:pt idx="5">
                  <c:v>0.09</c:v>
                </c:pt>
                <c:pt idx="6">
                  <c:v>0.08</c:v>
                </c:pt>
                <c:pt idx="7">
                  <c:v>7.0000000000000007E-2</c:v>
                </c:pt>
                <c:pt idx="8">
                  <c:v>0.06</c:v>
                </c:pt>
                <c:pt idx="9">
                  <c:v>0.05</c:v>
                </c:pt>
              </c:numCache>
            </c:numRef>
          </c:val>
          <c:extLst>
            <c:ext xmlns:c16="http://schemas.microsoft.com/office/drawing/2014/chart" uri="{C3380CC4-5D6E-409C-BE32-E72D297353CC}">
              <c16:uniqueId val="{00000000-307B-1E4A-9FCB-4F090DC2E1DF}"/>
            </c:ext>
          </c:extLst>
        </c:ser>
        <c:dLbls>
          <c:showLegendKey val="0"/>
          <c:showVal val="0"/>
          <c:showCatName val="0"/>
          <c:showSerName val="0"/>
          <c:showPercent val="0"/>
          <c:showBubbleSize val="0"/>
        </c:dLbls>
        <c:gapWidth val="219"/>
        <c:overlap val="-27"/>
        <c:axId val="946318976"/>
        <c:axId val="477991664"/>
      </c:barChart>
      <c:catAx>
        <c:axId val="946318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7991664"/>
        <c:crossesAt val="0"/>
        <c:auto val="1"/>
        <c:lblAlgn val="ctr"/>
        <c:lblOffset val="100"/>
        <c:noMultiLvlLbl val="0"/>
      </c:catAx>
      <c:valAx>
        <c:axId val="477991664"/>
        <c:scaling>
          <c:orientation val="minMax"/>
          <c:max val="0.11"/>
          <c:min val="0.04"/>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631897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Historical</a:t>
            </a:r>
            <a:r>
              <a:rPr lang="en-GB" baseline="0"/>
              <a:t> Revenue trend</a:t>
            </a:r>
          </a:p>
        </c:rich>
      </c:tx>
      <c:layout>
        <c:manualLayout>
          <c:xMode val="edge"/>
          <c:yMode val="edge"/>
          <c:x val="0.40393744531933506"/>
          <c:y val="1.851851851851851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ru-UA"/>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xVal>
            <c:strRef>
              <c:f>Exhibits!$V$85:$AE$85</c:f>
              <c:strCache>
                <c:ptCount val="10"/>
                <c:pt idx="0">
                  <c:v>Year 2022</c:v>
                </c:pt>
                <c:pt idx="7">
                  <c:v>Year 2023</c:v>
                </c:pt>
                <c:pt idx="8">
                  <c:v>Year 2024</c:v>
                </c:pt>
                <c:pt idx="9">
                  <c:v>Year 2025</c:v>
                </c:pt>
              </c:strCache>
            </c:strRef>
          </c:xVal>
          <c:yVal>
            <c:numRef>
              <c:f>Exhibits!$V$86:$AE$86</c:f>
              <c:numCache>
                <c:formatCode>General</c:formatCode>
                <c:ptCount val="10"/>
                <c:pt idx="0">
                  <c:v>12520000</c:v>
                </c:pt>
                <c:pt idx="7">
                  <c:v>13649000</c:v>
                </c:pt>
                <c:pt idx="8">
                  <c:v>11303000</c:v>
                </c:pt>
                <c:pt idx="9">
                  <c:v>11871000</c:v>
                </c:pt>
              </c:numCache>
            </c:numRef>
          </c:yVal>
          <c:smooth val="0"/>
          <c:extLst>
            <c:ext xmlns:c16="http://schemas.microsoft.com/office/drawing/2014/chart" uri="{C3380CC4-5D6E-409C-BE32-E72D297353CC}">
              <c16:uniqueId val="{00000000-CAEF-4F0A-B6A3-9BEAA1B97E9A}"/>
            </c:ext>
          </c:extLst>
        </c:ser>
        <c:dLbls>
          <c:showLegendKey val="0"/>
          <c:showVal val="0"/>
          <c:showCatName val="0"/>
          <c:showSerName val="0"/>
          <c:showPercent val="0"/>
          <c:showBubbleSize val="0"/>
        </c:dLbls>
        <c:axId val="1269174768"/>
        <c:axId val="1269179088"/>
      </c:scatterChart>
      <c:valAx>
        <c:axId val="1269174768"/>
        <c:scaling>
          <c:orientation val="minMax"/>
          <c:max val="4"/>
          <c:min val="1"/>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Years 2022-2025</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ru-UA"/>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UA"/>
          </a:p>
        </c:txPr>
        <c:crossAx val="1269179088"/>
        <c:crosses val="autoZero"/>
        <c:crossBetween val="midCat"/>
      </c:valAx>
      <c:valAx>
        <c:axId val="126917908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Yearly</a:t>
                </a:r>
                <a:r>
                  <a:rPr lang="en-GB" baseline="0"/>
                  <a:t> r</a:t>
                </a:r>
                <a:r>
                  <a:rPr lang="en-GB"/>
                  <a:t>evenue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ru-UA"/>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UA"/>
          </a:p>
        </c:txPr>
        <c:crossAx val="1269174768"/>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ru-UA"/>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each segment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Segments!$M$12</c:f>
              <c:strCache>
                <c:ptCount val="1"/>
                <c:pt idx="0">
                  <c:v>Utilities</c:v>
                </c:pt>
              </c:strCache>
            </c:strRef>
          </c:tx>
          <c:spPr>
            <a:solidFill>
              <a:schemeClr val="accent1"/>
            </a:solidFill>
            <a:ln>
              <a:noFill/>
            </a:ln>
            <a:effectLst/>
          </c:spPr>
          <c:invertIfNegative val="0"/>
          <c:cat>
            <c:strRef>
              <c:f>Segments!$N$11:$W$11</c:f>
              <c:strCache>
                <c:ptCount val="10"/>
                <c:pt idx="0">
                  <c:v>Year 2015</c:v>
                </c:pt>
                <c:pt idx="1">
                  <c:v>Year 2016</c:v>
                </c:pt>
                <c:pt idx="2">
                  <c:v>Year 2017</c:v>
                </c:pt>
                <c:pt idx="3">
                  <c:v>Year 2018</c:v>
                </c:pt>
                <c:pt idx="4">
                  <c:v>Year 2019</c:v>
                </c:pt>
                <c:pt idx="5">
                  <c:v>Year 2020</c:v>
                </c:pt>
                <c:pt idx="6">
                  <c:v>Year 2021</c:v>
                </c:pt>
                <c:pt idx="7">
                  <c:v>Year 2022</c:v>
                </c:pt>
                <c:pt idx="8">
                  <c:v>Year 2023</c:v>
                </c:pt>
                <c:pt idx="9">
                  <c:v>Year 2024</c:v>
                </c:pt>
              </c:strCache>
            </c:strRef>
          </c:cat>
          <c:val>
            <c:numRef>
              <c:f>Segments!$N$12:$W$12</c:f>
              <c:numCache>
                <c:formatCode>_(* #,##0.0_);_(* \(#,##0.0\);_(* "-"?_);_(@_)</c:formatCode>
                <c:ptCount val="10"/>
                <c:pt idx="0">
                  <c:v>9252</c:v>
                </c:pt>
                <c:pt idx="1">
                  <c:v>9280</c:v>
                </c:pt>
                <c:pt idx="2">
                  <c:v>8261</c:v>
                </c:pt>
                <c:pt idx="3">
                  <c:v>8530</c:v>
                </c:pt>
                <c:pt idx="4">
                  <c:v>9450</c:v>
                </c:pt>
                <c:pt idx="5">
                  <c:v>10061</c:v>
                </c:pt>
                <c:pt idx="6">
                  <c:v>10926</c:v>
                </c:pt>
                <c:pt idx="7" formatCode="_(* #,##0.0_);_(* \(#,##0.0\)_)\ ;_(* 0_)">
                  <c:v>12577</c:v>
                </c:pt>
                <c:pt idx="8" formatCode="_(* #,##0.0_);_(* \(#,##0.0\)_)\ ;_(* 0_)">
                  <c:v>13761</c:v>
                </c:pt>
                <c:pt idx="9" formatCode="_(* #,##0.0_);_(* \(#,##0.0\)_)\ ;_(* 0_)">
                  <c:v>11382</c:v>
                </c:pt>
              </c:numCache>
            </c:numRef>
          </c:val>
          <c:extLst>
            <c:ext xmlns:c16="http://schemas.microsoft.com/office/drawing/2014/chart" uri="{C3380CC4-5D6E-409C-BE32-E72D297353CC}">
              <c16:uniqueId val="{00000000-E8A1-483C-BBD6-C3BDA6A481FA}"/>
            </c:ext>
          </c:extLst>
        </c:ser>
        <c:ser>
          <c:idx val="1"/>
          <c:order val="1"/>
          <c:tx>
            <c:strRef>
              <c:f>Segments!$M$13</c:f>
              <c:strCache>
                <c:ptCount val="1"/>
                <c:pt idx="0">
                  <c:v>Infrastructure</c:v>
                </c:pt>
              </c:strCache>
            </c:strRef>
          </c:tx>
          <c:spPr>
            <a:solidFill>
              <a:schemeClr val="accent2"/>
            </a:solidFill>
            <a:ln>
              <a:noFill/>
            </a:ln>
            <a:effectLst/>
          </c:spPr>
          <c:invertIfNegative val="0"/>
          <c:cat>
            <c:strRef>
              <c:f>Segments!$N$11:$W$11</c:f>
              <c:strCache>
                <c:ptCount val="10"/>
                <c:pt idx="0">
                  <c:v>Year 2015</c:v>
                </c:pt>
                <c:pt idx="1">
                  <c:v>Year 2016</c:v>
                </c:pt>
                <c:pt idx="2">
                  <c:v>Year 2017</c:v>
                </c:pt>
                <c:pt idx="3">
                  <c:v>Year 2018</c:v>
                </c:pt>
                <c:pt idx="4">
                  <c:v>Year 2019</c:v>
                </c:pt>
                <c:pt idx="5">
                  <c:v>Year 2020</c:v>
                </c:pt>
                <c:pt idx="6">
                  <c:v>Year 2021</c:v>
                </c:pt>
                <c:pt idx="7">
                  <c:v>Year 2022</c:v>
                </c:pt>
                <c:pt idx="8">
                  <c:v>Year 2023</c:v>
                </c:pt>
                <c:pt idx="9">
                  <c:v>Year 2024</c:v>
                </c:pt>
              </c:strCache>
            </c:strRef>
          </c:cat>
          <c:val>
            <c:numRef>
              <c:f>Segments!$N$13:$W$13</c:f>
              <c:numCache>
                <c:formatCode>_(* #,##0.0_);_(* \(#,##0.0\);_(* "-"?_);_(@_)</c:formatCode>
                <c:ptCount val="10"/>
                <c:pt idx="0">
                  <c:v>1322</c:v>
                </c:pt>
                <c:pt idx="1">
                  <c:v>1233</c:v>
                </c:pt>
                <c:pt idx="2">
                  <c:v>1736</c:v>
                </c:pt>
                <c:pt idx="3">
                  <c:v>1848</c:v>
                </c:pt>
                <c:pt idx="4" formatCode="_(* #,##0.0_);_(* \(#,##0.0\)_)\ ;_(* 0_)">
                  <c:v>1454</c:v>
                </c:pt>
                <c:pt idx="5" formatCode="_(* #,##0.0_);_(* \(#,##0.0\)_)\ ;_(* 0_)">
                  <c:v>1400</c:v>
                </c:pt>
                <c:pt idx="6" formatCode="_(* #,##0.0_);_(* \(#,##0.0\)_)\ ;_(* 0_)">
                  <c:v>1997</c:v>
                </c:pt>
                <c:pt idx="7" formatCode="_(* #,##0.0_);_(* \(#,##0.0\)_)\ ;_(* 0_)">
                  <c:v>1919</c:v>
                </c:pt>
                <c:pt idx="8" formatCode="_(* #,##0.0_);_(* \(#,##0.0\)_)\ ;_(* 0_)">
                  <c:v>3071</c:v>
                </c:pt>
                <c:pt idx="9" formatCode="_(* #,##0.0_);_(* \(#,##0.0\)_)\ ;_(* 0_)">
                  <c:v>1882</c:v>
                </c:pt>
              </c:numCache>
            </c:numRef>
          </c:val>
          <c:extLst>
            <c:ext xmlns:c16="http://schemas.microsoft.com/office/drawing/2014/chart" uri="{C3380CC4-5D6E-409C-BE32-E72D297353CC}">
              <c16:uniqueId val="{00000001-E8A1-483C-BBD6-C3BDA6A481FA}"/>
            </c:ext>
          </c:extLst>
        </c:ser>
        <c:ser>
          <c:idx val="2"/>
          <c:order val="2"/>
          <c:tx>
            <c:strRef>
              <c:f>Segments!$M$14</c:f>
              <c:strCache>
                <c:ptCount val="1"/>
                <c:pt idx="0">
                  <c:v>Non-core</c:v>
                </c:pt>
              </c:strCache>
            </c:strRef>
          </c:tx>
          <c:spPr>
            <a:solidFill>
              <a:schemeClr val="accent3"/>
            </a:solidFill>
            <a:ln>
              <a:noFill/>
            </a:ln>
            <a:effectLst/>
          </c:spPr>
          <c:invertIfNegative val="0"/>
          <c:cat>
            <c:strRef>
              <c:f>Segments!$N$11:$W$11</c:f>
              <c:strCache>
                <c:ptCount val="10"/>
                <c:pt idx="0">
                  <c:v>Year 2015</c:v>
                </c:pt>
                <c:pt idx="1">
                  <c:v>Year 2016</c:v>
                </c:pt>
                <c:pt idx="2">
                  <c:v>Year 2017</c:v>
                </c:pt>
                <c:pt idx="3">
                  <c:v>Year 2018</c:v>
                </c:pt>
                <c:pt idx="4">
                  <c:v>Year 2019</c:v>
                </c:pt>
                <c:pt idx="5">
                  <c:v>Year 2020</c:v>
                </c:pt>
                <c:pt idx="6">
                  <c:v>Year 2021</c:v>
                </c:pt>
                <c:pt idx="7">
                  <c:v>Year 2022</c:v>
                </c:pt>
                <c:pt idx="8">
                  <c:v>Year 2023</c:v>
                </c:pt>
                <c:pt idx="9">
                  <c:v>Year 2024</c:v>
                </c:pt>
              </c:strCache>
            </c:strRef>
          </c:cat>
          <c:val>
            <c:numRef>
              <c:f>Segments!$N$14:$W$14</c:f>
              <c:numCache>
                <c:formatCode>_(* #,##0.0_);_(* \(#,##0.0\)_)\ ;_(* 0_)</c:formatCode>
                <c:ptCount val="10"/>
                <c:pt idx="0" formatCode="_(* #,##0.0_);_(* \(#,##0.0\);_(* &quot;-&quot;?_);_(@_)">
                  <c:v>-379</c:v>
                </c:pt>
                <c:pt idx="1">
                  <c:v>-364</c:v>
                </c:pt>
                <c:pt idx="2" formatCode="_(* #,##0.0_);_(* \(#,##0.0\);_(* &quot;-&quot;?_);_(@_)">
                  <c:v>-451</c:v>
                </c:pt>
                <c:pt idx="3" formatCode="_(* #,##0.0_);_(* \(#,##0.0\);_(* &quot;-&quot;?_);_(@_)">
                  <c:v>-400</c:v>
                </c:pt>
                <c:pt idx="4" formatCode="_(* #,##0.0_);_(* \(#,##0.0\);_(* &quot;-&quot;?_);_(@_)">
                  <c:v>-88</c:v>
                </c:pt>
                <c:pt idx="5" formatCode="_(* #,##0.0_);_(* \(#,##0.0\);_(* &quot;-&quot;?_);_(@_)">
                  <c:v>-93</c:v>
                </c:pt>
                <c:pt idx="6" formatCode="_(* #,##0.0_);_(* \(#,##0.0\);_(* &quot;-&quot;?_);_(@_)">
                  <c:v>-71</c:v>
                </c:pt>
                <c:pt idx="7" formatCode="_(* #,##0.0_);_(* \(#,##0.0\);_(* &quot;-&quot;?_);_(@_)">
                  <c:v>-57</c:v>
                </c:pt>
                <c:pt idx="8" formatCode="_(* #,##0.0_);_(* \(#,##0.0\);_(* &quot;-&quot;?_);_(@_)">
                  <c:v>-112</c:v>
                </c:pt>
                <c:pt idx="9" formatCode="_(* #,##0.0_);_(* \(#,##0.0\);_(* &quot;-&quot;?_);_(@_)">
                  <c:v>-79</c:v>
                </c:pt>
              </c:numCache>
            </c:numRef>
          </c:val>
          <c:extLst>
            <c:ext xmlns:c16="http://schemas.microsoft.com/office/drawing/2014/chart" uri="{C3380CC4-5D6E-409C-BE32-E72D297353CC}">
              <c16:uniqueId val="{00000002-E8A1-483C-BBD6-C3BDA6A481FA}"/>
            </c:ext>
          </c:extLst>
        </c:ser>
        <c:ser>
          <c:idx val="3"/>
          <c:order val="3"/>
          <c:tx>
            <c:strRef>
              <c:f>Segments!$M$15</c:f>
              <c:strCache>
                <c:ptCount val="1"/>
                <c:pt idx="0">
                  <c:v>All other</c:v>
                </c:pt>
              </c:strCache>
            </c:strRef>
          </c:tx>
          <c:spPr>
            <a:solidFill>
              <a:schemeClr val="accent4"/>
            </a:solidFill>
            <a:ln>
              <a:noFill/>
            </a:ln>
            <a:effectLst/>
          </c:spPr>
          <c:invertIfNegative val="0"/>
          <c:cat>
            <c:strRef>
              <c:f>Segments!$N$11:$W$11</c:f>
              <c:strCache>
                <c:ptCount val="10"/>
                <c:pt idx="0">
                  <c:v>Year 2015</c:v>
                </c:pt>
                <c:pt idx="1">
                  <c:v>Year 2016</c:v>
                </c:pt>
                <c:pt idx="2">
                  <c:v>Year 2017</c:v>
                </c:pt>
                <c:pt idx="3">
                  <c:v>Year 2018</c:v>
                </c:pt>
                <c:pt idx="4">
                  <c:v>Year 2019</c:v>
                </c:pt>
                <c:pt idx="5">
                  <c:v>Year 2020</c:v>
                </c:pt>
                <c:pt idx="6">
                  <c:v>Year 2021</c:v>
                </c:pt>
                <c:pt idx="7">
                  <c:v>Year 2022</c:v>
                </c:pt>
                <c:pt idx="8">
                  <c:v>Year 2023</c:v>
                </c:pt>
                <c:pt idx="9">
                  <c:v>Year 2024</c:v>
                </c:pt>
              </c:strCache>
            </c:strRef>
          </c:cat>
          <c:val>
            <c:numRef>
              <c:f>Segments!$N$15:$W$15</c:f>
              <c:numCache>
                <c:formatCode>_(* #,##0.0_);_(* \(#,##0.0\)_)\ ;_(* 0_)</c:formatCode>
                <c:ptCount val="10"/>
                <c:pt idx="0">
                  <c:v>36</c:v>
                </c:pt>
                <c:pt idx="1">
                  <c:v>34</c:v>
                </c:pt>
                <c:pt idx="2">
                  <c:v>94</c:v>
                </c:pt>
                <c:pt idx="3">
                  <c:v>124</c:v>
                </c:pt>
                <c:pt idx="4" formatCode="_(* #,##0.0_);_(* \(#,##0.0\);_(* &quot;-&quot;?_);_(@_)">
                  <c:v>13</c:v>
                </c:pt>
                <c:pt idx="5">
                  <c:v>2</c:v>
                </c:pt>
                <c:pt idx="6">
                  <c:v>5</c:v>
                </c:pt>
              </c:numCache>
            </c:numRef>
          </c:val>
          <c:extLst>
            <c:ext xmlns:c16="http://schemas.microsoft.com/office/drawing/2014/chart" uri="{C3380CC4-5D6E-409C-BE32-E72D297353CC}">
              <c16:uniqueId val="{00000003-E8A1-483C-BBD6-C3BDA6A481FA}"/>
            </c:ext>
          </c:extLst>
        </c:ser>
        <c:dLbls>
          <c:showLegendKey val="0"/>
          <c:showVal val="0"/>
          <c:showCatName val="0"/>
          <c:showSerName val="0"/>
          <c:showPercent val="0"/>
          <c:showBubbleSize val="0"/>
        </c:dLbls>
        <c:gapWidth val="150"/>
        <c:overlap val="100"/>
        <c:axId val="164443655"/>
        <c:axId val="164450311"/>
      </c:barChart>
      <c:catAx>
        <c:axId val="16444365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450311"/>
        <c:crosses val="autoZero"/>
        <c:auto val="1"/>
        <c:lblAlgn val="ctr"/>
        <c:lblOffset val="100"/>
        <c:noMultiLvlLbl val="0"/>
      </c:catAx>
      <c:valAx>
        <c:axId val="16445031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 millions of the reported currency</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_);_(* \(#,##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44365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HISTORICAL REVENUE GROWTH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v>Revenue Growth Rate</c:v>
          </c:tx>
          <c:spPr>
            <a:solidFill>
              <a:srgbClr val="0070C0"/>
            </a:solidFill>
            <a:ln>
              <a:noFill/>
            </a:ln>
            <a:effectLst/>
          </c:spPr>
          <c:invertIfNegative val="0"/>
          <c:dLbls>
            <c:dLbl>
              <c:idx val="3"/>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FF0000"/>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1-01FE-44DE-BBD4-FF08414A8B6A}"/>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00FF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Exhibits!$AI$5:$AM$5</c:f>
              <c:strCache>
                <c:ptCount val="5"/>
                <c:pt idx="0">
                  <c:v>2021A</c:v>
                </c:pt>
                <c:pt idx="1">
                  <c:v>2022A</c:v>
                </c:pt>
                <c:pt idx="2">
                  <c:v>2023A</c:v>
                </c:pt>
                <c:pt idx="3">
                  <c:v>2024A</c:v>
                </c:pt>
                <c:pt idx="4">
                  <c:v>2025A</c:v>
                </c:pt>
              </c:strCache>
            </c:strRef>
          </c:cat>
          <c:val>
            <c:numRef>
              <c:f>Exhibits!$AI$7:$AM$7</c:f>
              <c:numCache>
                <c:formatCode>0.00%</c:formatCode>
                <c:ptCount val="5"/>
                <c:pt idx="0">
                  <c:v>8.9267803410230773E-2</c:v>
                </c:pt>
                <c:pt idx="1">
                  <c:v>0.15285451197053401</c:v>
                </c:pt>
                <c:pt idx="2">
                  <c:v>9.0175718849840214E-2</c:v>
                </c:pt>
                <c:pt idx="3">
                  <c:v>-0.17188072386255404</c:v>
                </c:pt>
                <c:pt idx="4">
                  <c:v>5.0252145448111074E-2</c:v>
                </c:pt>
              </c:numCache>
            </c:numRef>
          </c:val>
          <c:extLst>
            <c:ext xmlns:c16="http://schemas.microsoft.com/office/drawing/2014/chart" uri="{C3380CC4-5D6E-409C-BE32-E72D297353CC}">
              <c16:uniqueId val="{00000000-01FE-44DE-BBD4-FF08414A8B6A}"/>
            </c:ext>
          </c:extLst>
        </c:ser>
        <c:dLbls>
          <c:showLegendKey val="0"/>
          <c:showVal val="0"/>
          <c:showCatName val="0"/>
          <c:showSerName val="0"/>
          <c:showPercent val="0"/>
          <c:showBubbleSize val="0"/>
        </c:dLbls>
        <c:gapWidth val="74"/>
        <c:overlap val="-27"/>
        <c:axId val="2071954439"/>
        <c:axId val="2071956487"/>
      </c:barChart>
      <c:catAx>
        <c:axId val="20719544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1956487"/>
        <c:crosses val="autoZero"/>
        <c:auto val="1"/>
        <c:lblAlgn val="ctr"/>
        <c:lblOffset val="100"/>
        <c:noMultiLvlLbl val="0"/>
      </c:catAx>
      <c:valAx>
        <c:axId val="2071956487"/>
        <c:scaling>
          <c:orientation val="minMax"/>
        </c:scaling>
        <c:delete val="1"/>
        <c:axPos val="l"/>
        <c:numFmt formatCode="0.00%" sourceLinked="1"/>
        <c:majorTickMark val="none"/>
        <c:minorTickMark val="none"/>
        <c:tickLblPos val="nextTo"/>
        <c:crossAx val="207195443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HISTORICAL EBITDA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v>EBITDA</c:v>
          </c:tx>
          <c:spPr>
            <a:solidFill>
              <a:srgbClr val="0070C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FFFFFF"/>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Exhibits!$AX$20:$BC$20</c:f>
              <c:strCache>
                <c:ptCount val="6"/>
                <c:pt idx="0">
                  <c:v>2020A</c:v>
                </c:pt>
                <c:pt idx="1">
                  <c:v>2021A</c:v>
                </c:pt>
                <c:pt idx="2">
                  <c:v>2022A</c:v>
                </c:pt>
                <c:pt idx="3">
                  <c:v>2023A</c:v>
                </c:pt>
                <c:pt idx="4">
                  <c:v>2024A</c:v>
                </c:pt>
                <c:pt idx="5">
                  <c:v>2025A</c:v>
                </c:pt>
              </c:strCache>
            </c:strRef>
          </c:cat>
          <c:val>
            <c:numRef>
              <c:f>Exhibits!$AX$21:$BC$21</c:f>
              <c:numCache>
                <c:formatCode>"$"#,##0.0_);\("$"#,##0.0\);"-"_)</c:formatCode>
                <c:ptCount val="6"/>
                <c:pt idx="0">
                  <c:v>3291695.6904133684</c:v>
                </c:pt>
                <c:pt idx="1">
                  <c:v>3308532.6281403126</c:v>
                </c:pt>
                <c:pt idx="2">
                  <c:v>3540174.3888080893</c:v>
                </c:pt>
                <c:pt idx="3">
                  <c:v>3452507.3564593298</c:v>
                </c:pt>
                <c:pt idx="4">
                  <c:v>3581268.9419795224</c:v>
                </c:pt>
                <c:pt idx="5">
                  <c:v>4688856.8088176567</c:v>
                </c:pt>
              </c:numCache>
            </c:numRef>
          </c:val>
          <c:extLst>
            <c:ext xmlns:c16="http://schemas.microsoft.com/office/drawing/2014/chart" uri="{C3380CC4-5D6E-409C-BE32-E72D297353CC}">
              <c16:uniqueId val="{38C32DEE-0587-45C5-81B4-63DDEDBB793E}"/>
            </c:ext>
          </c:extLst>
        </c:ser>
        <c:dLbls>
          <c:showLegendKey val="0"/>
          <c:showVal val="0"/>
          <c:showCatName val="0"/>
          <c:showSerName val="0"/>
          <c:showPercent val="0"/>
          <c:showBubbleSize val="0"/>
        </c:dLbls>
        <c:gapWidth val="33"/>
        <c:overlap val="-30"/>
        <c:axId val="2102545927"/>
        <c:axId val="110863880"/>
      </c:barChart>
      <c:catAx>
        <c:axId val="210254592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EBITDA 2020 - 2025</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863880"/>
        <c:crosses val="autoZero"/>
        <c:auto val="1"/>
        <c:lblAlgn val="ctr"/>
        <c:lblOffset val="100"/>
        <c:noMultiLvlLbl val="0"/>
      </c:catAx>
      <c:valAx>
        <c:axId val="110863880"/>
        <c:scaling>
          <c:orientation val="minMax"/>
        </c:scaling>
        <c:delete val="1"/>
        <c:axPos val="l"/>
        <c:numFmt formatCode="&quot;$&quot;#,##0.0_);\(&quot;$&quot;#,##0.0\);&quot;-&quot;_)" sourceLinked="1"/>
        <c:majorTickMark val="none"/>
        <c:minorTickMark val="none"/>
        <c:tickLblPos val="nextTo"/>
        <c:crossAx val="2102545927"/>
        <c:crosses val="autoZero"/>
        <c:crossBetween val="between"/>
        <c:dispUnits>
          <c:builtInUnit val="thousand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HISTORICAL CAPEX</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v>Field2</c:v>
          </c:tx>
          <c:spPr>
            <a:solidFill>
              <a:srgbClr val="0070C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name>CAGR</c:name>
            <c:spPr>
              <a:ln w="19050" cap="rnd">
                <a:solidFill>
                  <a:schemeClr val="accent1"/>
                </a:solidFill>
                <a:prstDash val="sysDot"/>
              </a:ln>
              <a:effectLst/>
            </c:spPr>
            <c:trendlineType val="linear"/>
            <c:intercept val="0"/>
            <c:dispRSqr val="0"/>
            <c:dispEq val="0"/>
          </c:trendline>
          <c:cat>
            <c:strRef>
              <c:f>Exhibits!$BE$20:$BJ$20</c:f>
              <c:strCache>
                <c:ptCount val="6"/>
                <c:pt idx="0">
                  <c:v>2020A</c:v>
                </c:pt>
                <c:pt idx="1">
                  <c:v>2021A</c:v>
                </c:pt>
                <c:pt idx="2">
                  <c:v>2022A</c:v>
                </c:pt>
                <c:pt idx="3">
                  <c:v>2023A</c:v>
                </c:pt>
                <c:pt idx="4">
                  <c:v>2024A</c:v>
                </c:pt>
                <c:pt idx="5">
                  <c:v>2025A</c:v>
                </c:pt>
              </c:strCache>
            </c:strRef>
          </c:cat>
          <c:val>
            <c:numRef>
              <c:f>Exhibits!$BE$21:$BJ$21</c:f>
              <c:numCache>
                <c:formatCode>_-[$$-409]* #,##0_ ;_-[$$-409]* \-#,##0\ ;_-[$$-409]* "-"??_ ;_-@_ </c:formatCode>
                <c:ptCount val="6"/>
                <c:pt idx="0">
                  <c:v>3785000</c:v>
                </c:pt>
                <c:pt idx="1">
                  <c:v>4204000</c:v>
                </c:pt>
                <c:pt idx="2">
                  <c:v>4466000</c:v>
                </c:pt>
                <c:pt idx="3">
                  <c:v>4560000</c:v>
                </c:pt>
                <c:pt idx="4">
                  <c:v>4753000</c:v>
                </c:pt>
                <c:pt idx="5">
                  <c:v>6556000</c:v>
                </c:pt>
              </c:numCache>
            </c:numRef>
          </c:val>
          <c:extLst>
            <c:ext xmlns:c16="http://schemas.microsoft.com/office/drawing/2014/chart" uri="{C3380CC4-5D6E-409C-BE32-E72D297353CC}">
              <c16:uniqueId val="{CBB0E0C4-AE63-4B2D-818A-CEBA9C6F0D27}"/>
            </c:ext>
          </c:extLst>
        </c:ser>
        <c:dLbls>
          <c:showLegendKey val="0"/>
          <c:showVal val="0"/>
          <c:showCatName val="0"/>
          <c:showSerName val="0"/>
          <c:showPercent val="0"/>
          <c:showBubbleSize val="0"/>
        </c:dLbls>
        <c:gapWidth val="33"/>
        <c:overlap val="-30"/>
        <c:axId val="2090950151"/>
        <c:axId val="2090964999"/>
      </c:barChart>
      <c:catAx>
        <c:axId val="209095015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2020 - 2025</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0964999"/>
        <c:crosses val="autoZero"/>
        <c:auto val="1"/>
        <c:lblAlgn val="ctr"/>
        <c:lblOffset val="100"/>
        <c:noMultiLvlLbl val="0"/>
      </c:catAx>
      <c:valAx>
        <c:axId val="2090964999"/>
        <c:scaling>
          <c:orientation val="minMax"/>
        </c:scaling>
        <c:delete val="1"/>
        <c:axPos val="l"/>
        <c:numFmt formatCode="_-[$$-409]* #,##0_ ;_-[$$-409]* \-#,##0\ ;_-[$$-409]* &quot;-&quot;??_ ;_-@_ " sourceLinked="1"/>
        <c:majorTickMark val="none"/>
        <c:minorTickMark val="none"/>
        <c:tickLblPos val="nextTo"/>
        <c:crossAx val="2090950151"/>
        <c:crosses val="autoZero"/>
        <c:crossBetween val="between"/>
        <c:dispUnits>
          <c:builtInUnit val="thousand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t>FORCASTED REVENUE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KE"/>
        </a:p>
      </c:txPr>
    </c:title>
    <c:autoTitleDeleted val="0"/>
    <c:plotArea>
      <c:layout/>
      <c:barChart>
        <c:barDir val="col"/>
        <c:grouping val="clustered"/>
        <c:varyColors val="0"/>
        <c:ser>
          <c:idx val="0"/>
          <c:order val="0"/>
          <c:tx>
            <c:v>FORCASTED YEARS </c:v>
          </c:tx>
          <c:spPr>
            <a:solidFill>
              <a:schemeClr val="accent2"/>
            </a:solidFill>
            <a:ln>
              <a:noFill/>
            </a:ln>
            <a:effectLst/>
          </c:spPr>
          <c:invertIfNegative val="0"/>
          <c:cat>
            <c:numRef>
              <c:f>Analysis!$L$12:$L$21</c:f>
              <c:numCache>
                <c:formatCode>General</c:formatCode>
                <c:ptCount val="10"/>
                <c:pt idx="0">
                  <c:v>2026</c:v>
                </c:pt>
                <c:pt idx="1">
                  <c:v>2027</c:v>
                </c:pt>
                <c:pt idx="2">
                  <c:v>2028</c:v>
                </c:pt>
                <c:pt idx="3">
                  <c:v>2029</c:v>
                </c:pt>
                <c:pt idx="4">
                  <c:v>2030</c:v>
                </c:pt>
                <c:pt idx="5">
                  <c:v>2031</c:v>
                </c:pt>
                <c:pt idx="6">
                  <c:v>2032</c:v>
                </c:pt>
                <c:pt idx="7">
                  <c:v>2033</c:v>
                </c:pt>
                <c:pt idx="8">
                  <c:v>2034</c:v>
                </c:pt>
                <c:pt idx="9">
                  <c:v>2035</c:v>
                </c:pt>
              </c:numCache>
            </c:numRef>
          </c:cat>
          <c:val>
            <c:numRef>
              <c:f>'DCF '!$C$4:$L$4</c:f>
              <c:numCache>
                <c:formatCode>"$"#,##0.0_);\("$"#,##0.0\);"-"_)</c:formatCode>
                <c:ptCount val="10"/>
                <c:pt idx="0">
                  <c:v>13076910.000000002</c:v>
                </c:pt>
                <c:pt idx="1">
                  <c:v>14515370.100000003</c:v>
                </c:pt>
                <c:pt idx="2">
                  <c:v>16112060.811000004</c:v>
                </c:pt>
                <c:pt idx="3">
                  <c:v>17884387.500210006</c:v>
                </c:pt>
                <c:pt idx="4">
                  <c:v>19851670.125233106</c:v>
                </c:pt>
                <c:pt idx="5">
                  <c:v>21638320.438983653</c:v>
                </c:pt>
                <c:pt idx="6">
                  <c:v>23369386.07410235</c:v>
                </c:pt>
                <c:pt idx="7">
                  <c:v>25005243.09928951</c:v>
                </c:pt>
                <c:pt idx="8">
                  <c:v>26505557.685246885</c:v>
                </c:pt>
                <c:pt idx="9">
                  <c:v>27830835.569509234</c:v>
                </c:pt>
              </c:numCache>
            </c:numRef>
          </c:val>
          <c:extLst>
            <c:ext xmlns:c16="http://schemas.microsoft.com/office/drawing/2014/chart" uri="{C3380CC4-5D6E-409C-BE32-E72D297353CC}">
              <c16:uniqueId val="{00000003-D270-415F-BFD6-313D8C3DC5C7}"/>
            </c:ext>
          </c:extLst>
        </c:ser>
        <c:dLbls>
          <c:showLegendKey val="0"/>
          <c:showVal val="0"/>
          <c:showCatName val="0"/>
          <c:showSerName val="0"/>
          <c:showPercent val="0"/>
          <c:showBubbleSize val="0"/>
        </c:dLbls>
        <c:gapWidth val="219"/>
        <c:overlap val="-27"/>
        <c:axId val="2115188744"/>
        <c:axId val="2115211784"/>
      </c:barChart>
      <c:catAx>
        <c:axId val="2115188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KE"/>
          </a:p>
        </c:txPr>
        <c:crossAx val="2115211784"/>
        <c:crosses val="autoZero"/>
        <c:auto val="1"/>
        <c:lblAlgn val="ctr"/>
        <c:lblOffset val="100"/>
        <c:noMultiLvlLbl val="0"/>
      </c:catAx>
      <c:valAx>
        <c:axId val="211521178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dk1"/>
                    </a:solidFill>
                    <a:latin typeface="+mn-lt"/>
                    <a:ea typeface="+mn-ea"/>
                    <a:cs typeface="+mn-cs"/>
                  </a:defRPr>
                </a:pPr>
                <a:r>
                  <a:rPr lang="en-GB" baseline="0"/>
                  <a:t> REVENUES </a:t>
                </a:r>
                <a:endParaRPr lang="en-GB"/>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dk1"/>
                  </a:solidFill>
                  <a:latin typeface="+mn-lt"/>
                  <a:ea typeface="+mn-ea"/>
                  <a:cs typeface="+mn-cs"/>
                </a:defRPr>
              </a:pPr>
              <a:endParaRPr lang="en-GB"/>
            </a:p>
          </c:txPr>
        </c:title>
        <c:numFmt formatCode="&quot;$&quot;#,##0.0_);\(&quot;$&quot;#,##0.0\);&quot;-&quot;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2115188744"/>
        <c:crosses val="autoZero"/>
        <c:crossBetween val="between"/>
      </c:valAx>
      <c:spPr>
        <a:solidFill>
          <a:schemeClr val="bg1"/>
        </a:solidFill>
        <a:ln w="12700" cap="flat" cmpd="sng" algn="ctr">
          <a:solidFill>
            <a:schemeClr val="bg1"/>
          </a:solidFill>
          <a:prstDash val="solid"/>
          <a:miter lim="800000"/>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0"/>
    <c:dispBlanksAs val="gap"/>
    <c:showDLblsOverMax val="0"/>
  </c:chart>
  <c:spPr>
    <a:solidFill>
      <a:schemeClr val="lt1"/>
    </a:solidFill>
    <a:ln w="1270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KE"/>
        </a:p>
      </c:txPr>
    </c:title>
    <c:autoTitleDeleted val="0"/>
    <c:plotArea>
      <c:layout/>
      <c:barChart>
        <c:barDir val="col"/>
        <c:grouping val="clustered"/>
        <c:varyColors val="0"/>
        <c:ser>
          <c:idx val="0"/>
          <c:order val="0"/>
          <c:tx>
            <c:v>FORECASTED GROSS PROFIT</c:v>
          </c:tx>
          <c:spPr>
            <a:solidFill>
              <a:schemeClr val="accent2"/>
            </a:solidFill>
            <a:ln>
              <a:noFill/>
            </a:ln>
            <a:effectLst/>
          </c:spPr>
          <c:invertIfNegative val="0"/>
          <c:cat>
            <c:numRef>
              <c:f>Analysis!$L$12:$L$21</c:f>
              <c:numCache>
                <c:formatCode>General</c:formatCode>
                <c:ptCount val="10"/>
                <c:pt idx="0">
                  <c:v>2026</c:v>
                </c:pt>
                <c:pt idx="1">
                  <c:v>2027</c:v>
                </c:pt>
                <c:pt idx="2">
                  <c:v>2028</c:v>
                </c:pt>
                <c:pt idx="3">
                  <c:v>2029</c:v>
                </c:pt>
                <c:pt idx="4">
                  <c:v>2030</c:v>
                </c:pt>
                <c:pt idx="5">
                  <c:v>2031</c:v>
                </c:pt>
                <c:pt idx="6">
                  <c:v>2032</c:v>
                </c:pt>
                <c:pt idx="7">
                  <c:v>2033</c:v>
                </c:pt>
                <c:pt idx="8">
                  <c:v>2034</c:v>
                </c:pt>
                <c:pt idx="9">
                  <c:v>2035</c:v>
                </c:pt>
              </c:numCache>
            </c:numRef>
          </c:cat>
          <c:val>
            <c:numRef>
              <c:f>'DCF '!$C$8:$L$8</c:f>
              <c:numCache>
                <c:formatCode>"$"#,##0.0_);\("$"#,##0.0\);"-"_)</c:formatCode>
                <c:ptCount val="10"/>
                <c:pt idx="0">
                  <c:v>5167540.0000000019</c:v>
                </c:pt>
                <c:pt idx="1">
                  <c:v>6368719.0000000028</c:v>
                </c:pt>
                <c:pt idx="2">
                  <c:v>7761743.4335000049</c:v>
                </c:pt>
                <c:pt idx="3">
                  <c:v>9325312.1882725079</c:v>
                </c:pt>
                <c:pt idx="4">
                  <c:v>11078617.930497171</c:v>
                </c:pt>
                <c:pt idx="5">
                  <c:v>12645941.93937932</c:v>
                </c:pt>
                <c:pt idx="6">
                  <c:v>14152198.112007909</c:v>
                </c:pt>
                <c:pt idx="7">
                  <c:v>15557625.438142709</c:v>
                </c:pt>
                <c:pt idx="8">
                  <c:v>16821749.582571417</c:v>
                </c:pt>
                <c:pt idx="9">
                  <c:v>17904932.264266878</c:v>
                </c:pt>
              </c:numCache>
            </c:numRef>
          </c:val>
          <c:extLst>
            <c:ext xmlns:c16="http://schemas.microsoft.com/office/drawing/2014/chart" uri="{C3380CC4-5D6E-409C-BE32-E72D297353CC}">
              <c16:uniqueId val="{00000000-17ED-48F7-91E0-131DAFC5F42C}"/>
            </c:ext>
          </c:extLst>
        </c:ser>
        <c:dLbls>
          <c:showLegendKey val="0"/>
          <c:showVal val="0"/>
          <c:showCatName val="0"/>
          <c:showSerName val="0"/>
          <c:showPercent val="0"/>
          <c:showBubbleSize val="0"/>
        </c:dLbls>
        <c:gapWidth val="219"/>
        <c:overlap val="-27"/>
        <c:axId val="232623231"/>
        <c:axId val="232621311"/>
      </c:barChart>
      <c:catAx>
        <c:axId val="232623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KE"/>
          </a:p>
        </c:txPr>
        <c:crossAx val="232621311"/>
        <c:crosses val="autoZero"/>
        <c:auto val="1"/>
        <c:lblAlgn val="ctr"/>
        <c:lblOffset val="100"/>
        <c:noMultiLvlLbl val="0"/>
      </c:catAx>
      <c:valAx>
        <c:axId val="23262131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dk1"/>
                    </a:solidFill>
                    <a:latin typeface="+mn-lt"/>
                    <a:ea typeface="+mn-ea"/>
                    <a:cs typeface="+mn-cs"/>
                  </a:defRPr>
                </a:pPr>
                <a:r>
                  <a:rPr lang="en-GB"/>
                  <a:t>GROSS PROFIT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dk1"/>
                  </a:solidFill>
                  <a:latin typeface="+mn-lt"/>
                  <a:ea typeface="+mn-ea"/>
                  <a:cs typeface="+mn-cs"/>
                </a:defRPr>
              </a:pPr>
              <a:endParaRPr lang="en-KE"/>
            </a:p>
          </c:txPr>
        </c:title>
        <c:numFmt formatCode="&quot;$&quot;#,##0.0_);\(&quot;$&quot;#,##0.0\);&quot;-&quot;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KE"/>
          </a:p>
        </c:txPr>
        <c:crossAx val="2326232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KE"/>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KE"/>
        </a:p>
      </c:txPr>
    </c:title>
    <c:autoTitleDeleted val="0"/>
    <c:plotArea>
      <c:layout/>
      <c:barChart>
        <c:barDir val="col"/>
        <c:grouping val="clustered"/>
        <c:varyColors val="0"/>
        <c:ser>
          <c:idx val="0"/>
          <c:order val="0"/>
          <c:tx>
            <c:v>FORECATSED EBITDA </c:v>
          </c:tx>
          <c:spPr>
            <a:solidFill>
              <a:schemeClr val="accent2"/>
            </a:solidFill>
            <a:ln>
              <a:noFill/>
            </a:ln>
            <a:effectLst/>
          </c:spPr>
          <c:invertIfNegative val="0"/>
          <c:cat>
            <c:numRef>
              <c:f>Analysis!$L$12:$L$21</c:f>
              <c:numCache>
                <c:formatCode>General</c:formatCode>
                <c:ptCount val="10"/>
                <c:pt idx="0">
                  <c:v>2026</c:v>
                </c:pt>
                <c:pt idx="1">
                  <c:v>2027</c:v>
                </c:pt>
                <c:pt idx="2">
                  <c:v>2028</c:v>
                </c:pt>
                <c:pt idx="3">
                  <c:v>2029</c:v>
                </c:pt>
                <c:pt idx="4">
                  <c:v>2030</c:v>
                </c:pt>
                <c:pt idx="5">
                  <c:v>2031</c:v>
                </c:pt>
                <c:pt idx="6">
                  <c:v>2032</c:v>
                </c:pt>
                <c:pt idx="7">
                  <c:v>2033</c:v>
                </c:pt>
                <c:pt idx="8">
                  <c:v>2034</c:v>
                </c:pt>
                <c:pt idx="9">
                  <c:v>2035</c:v>
                </c:pt>
              </c:numCache>
            </c:numRef>
          </c:cat>
          <c:val>
            <c:numRef>
              <c:f>'DCF '!$C$11:$L$11</c:f>
              <c:numCache>
                <c:formatCode>"$"#,##0.0_);\("$"#,##0.0\);"-"_)</c:formatCode>
                <c:ptCount val="10"/>
                <c:pt idx="0">
                  <c:v>5064840.0000000019</c:v>
                </c:pt>
                <c:pt idx="1">
                  <c:v>6263246.1000000024</c:v>
                </c:pt>
                <c:pt idx="2">
                  <c:v>7653422.7652000049</c:v>
                </c:pt>
                <c:pt idx="3">
                  <c:v>9214066.8619284071</c:v>
                </c:pt>
                <c:pt idx="4">
                  <c:v>10964368.980341781</c:v>
                </c:pt>
                <c:pt idx="5">
                  <c:v>12528608.267569734</c:v>
                </c:pt>
                <c:pt idx="6">
                  <c:v>14031696.431059463</c:v>
                </c:pt>
                <c:pt idx="7">
                  <c:v>15433870.211808657</c:v>
                </c:pt>
                <c:pt idx="8">
                  <c:v>16694652.965126345</c:v>
                </c:pt>
                <c:pt idx="9">
                  <c:v>17774404.038150787</c:v>
                </c:pt>
              </c:numCache>
            </c:numRef>
          </c:val>
          <c:extLst>
            <c:ext xmlns:c16="http://schemas.microsoft.com/office/drawing/2014/chart" uri="{C3380CC4-5D6E-409C-BE32-E72D297353CC}">
              <c16:uniqueId val="{00000000-F1B2-4857-ADBB-D0506D21CAF1}"/>
            </c:ext>
          </c:extLst>
        </c:ser>
        <c:dLbls>
          <c:showLegendKey val="0"/>
          <c:showVal val="0"/>
          <c:showCatName val="0"/>
          <c:showSerName val="0"/>
          <c:showPercent val="0"/>
          <c:showBubbleSize val="0"/>
        </c:dLbls>
        <c:gapWidth val="219"/>
        <c:overlap val="-27"/>
        <c:axId val="240460575"/>
        <c:axId val="240472575"/>
      </c:barChart>
      <c:catAx>
        <c:axId val="24046057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dk1"/>
                    </a:solidFill>
                    <a:latin typeface="+mn-lt"/>
                    <a:ea typeface="+mn-ea"/>
                    <a:cs typeface="+mn-cs"/>
                  </a:defRPr>
                </a:pPr>
                <a:r>
                  <a:rPr lang="en-GB"/>
                  <a:t>YEARS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dk1"/>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KE"/>
          </a:p>
        </c:txPr>
        <c:crossAx val="240472575"/>
        <c:crosses val="autoZero"/>
        <c:auto val="1"/>
        <c:lblAlgn val="ctr"/>
        <c:lblOffset val="100"/>
        <c:noMultiLvlLbl val="0"/>
      </c:catAx>
      <c:valAx>
        <c:axId val="24047257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dk1"/>
                    </a:solidFill>
                    <a:latin typeface="+mn-lt"/>
                    <a:ea typeface="+mn-ea"/>
                    <a:cs typeface="+mn-cs"/>
                  </a:defRPr>
                </a:pPr>
                <a:r>
                  <a:rPr lang="en-GB"/>
                  <a:t>EBITDA</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dk1"/>
                  </a:solidFill>
                  <a:latin typeface="+mn-lt"/>
                  <a:ea typeface="+mn-ea"/>
                  <a:cs typeface="+mn-cs"/>
                </a:defRPr>
              </a:pPr>
              <a:endParaRPr lang="en-KE"/>
            </a:p>
          </c:txPr>
        </c:title>
        <c:numFmt formatCode="&quot;$&quot;#,##0.0_);\(&quot;$&quot;#,##0.0\);&quot;-&quot;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KE"/>
          </a:p>
        </c:txPr>
        <c:crossAx val="2404605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KE"/>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each segment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Segments!$M$12</c:f>
              <c:strCache>
                <c:ptCount val="1"/>
                <c:pt idx="0">
                  <c:v>Utilities</c:v>
                </c:pt>
              </c:strCache>
            </c:strRef>
          </c:tx>
          <c:spPr>
            <a:solidFill>
              <a:schemeClr val="accent1"/>
            </a:solidFill>
            <a:ln>
              <a:noFill/>
            </a:ln>
            <a:effectLst/>
          </c:spPr>
          <c:invertIfNegative val="0"/>
          <c:cat>
            <c:strRef>
              <c:f>Segments!$N$11:$W$11</c:f>
              <c:strCache>
                <c:ptCount val="10"/>
                <c:pt idx="0">
                  <c:v>Year 2015</c:v>
                </c:pt>
                <c:pt idx="1">
                  <c:v>Year 2016</c:v>
                </c:pt>
                <c:pt idx="2">
                  <c:v>Year 2017</c:v>
                </c:pt>
                <c:pt idx="3">
                  <c:v>Year 2018</c:v>
                </c:pt>
                <c:pt idx="4">
                  <c:v>Year 2019</c:v>
                </c:pt>
                <c:pt idx="5">
                  <c:v>Year 2020</c:v>
                </c:pt>
                <c:pt idx="6">
                  <c:v>Year 2021</c:v>
                </c:pt>
                <c:pt idx="7">
                  <c:v>Year 2022</c:v>
                </c:pt>
                <c:pt idx="8">
                  <c:v>Year 2023</c:v>
                </c:pt>
                <c:pt idx="9">
                  <c:v>Year 2024</c:v>
                </c:pt>
              </c:strCache>
            </c:strRef>
          </c:cat>
          <c:val>
            <c:numRef>
              <c:f>Segments!$N$12:$W$12</c:f>
              <c:numCache>
                <c:formatCode>_(* #,##0.0_);_(* \(#,##0.0\);_(* "-"?_);_(@_)</c:formatCode>
                <c:ptCount val="10"/>
                <c:pt idx="0">
                  <c:v>9252</c:v>
                </c:pt>
                <c:pt idx="1">
                  <c:v>9280</c:v>
                </c:pt>
                <c:pt idx="2">
                  <c:v>8261</c:v>
                </c:pt>
                <c:pt idx="3">
                  <c:v>8530</c:v>
                </c:pt>
                <c:pt idx="4">
                  <c:v>9450</c:v>
                </c:pt>
                <c:pt idx="5">
                  <c:v>10061</c:v>
                </c:pt>
                <c:pt idx="6">
                  <c:v>10926</c:v>
                </c:pt>
                <c:pt idx="7" formatCode="_(* #,##0.0_);_(* \(#,##0.0\)_)\ ;_(* 0_)">
                  <c:v>12577</c:v>
                </c:pt>
                <c:pt idx="8" formatCode="_(* #,##0.0_);_(* \(#,##0.0\)_)\ ;_(* 0_)">
                  <c:v>13761</c:v>
                </c:pt>
                <c:pt idx="9" formatCode="_(* #,##0.0_);_(* \(#,##0.0\)_)\ ;_(* 0_)">
                  <c:v>11382</c:v>
                </c:pt>
              </c:numCache>
            </c:numRef>
          </c:val>
          <c:extLst>
            <c:ext xmlns:c16="http://schemas.microsoft.com/office/drawing/2014/chart" uri="{C3380CC4-5D6E-409C-BE32-E72D297353CC}">
              <c16:uniqueId val="{00000000-0116-433D-ACA8-32B6404257F5}"/>
            </c:ext>
          </c:extLst>
        </c:ser>
        <c:ser>
          <c:idx val="1"/>
          <c:order val="1"/>
          <c:tx>
            <c:strRef>
              <c:f>Segments!$M$13</c:f>
              <c:strCache>
                <c:ptCount val="1"/>
                <c:pt idx="0">
                  <c:v>Infrastructure</c:v>
                </c:pt>
              </c:strCache>
            </c:strRef>
          </c:tx>
          <c:spPr>
            <a:solidFill>
              <a:schemeClr val="accent2"/>
            </a:solidFill>
            <a:ln>
              <a:noFill/>
            </a:ln>
            <a:effectLst/>
          </c:spPr>
          <c:invertIfNegative val="0"/>
          <c:cat>
            <c:strRef>
              <c:f>Segments!$N$11:$W$11</c:f>
              <c:strCache>
                <c:ptCount val="10"/>
                <c:pt idx="0">
                  <c:v>Year 2015</c:v>
                </c:pt>
                <c:pt idx="1">
                  <c:v>Year 2016</c:v>
                </c:pt>
                <c:pt idx="2">
                  <c:v>Year 2017</c:v>
                </c:pt>
                <c:pt idx="3">
                  <c:v>Year 2018</c:v>
                </c:pt>
                <c:pt idx="4">
                  <c:v>Year 2019</c:v>
                </c:pt>
                <c:pt idx="5">
                  <c:v>Year 2020</c:v>
                </c:pt>
                <c:pt idx="6">
                  <c:v>Year 2021</c:v>
                </c:pt>
                <c:pt idx="7">
                  <c:v>Year 2022</c:v>
                </c:pt>
                <c:pt idx="8">
                  <c:v>Year 2023</c:v>
                </c:pt>
                <c:pt idx="9">
                  <c:v>Year 2024</c:v>
                </c:pt>
              </c:strCache>
            </c:strRef>
          </c:cat>
          <c:val>
            <c:numRef>
              <c:f>Segments!$N$13:$W$13</c:f>
              <c:numCache>
                <c:formatCode>_(* #,##0.0_);_(* \(#,##0.0\);_(* "-"?_);_(@_)</c:formatCode>
                <c:ptCount val="10"/>
                <c:pt idx="0">
                  <c:v>1322</c:v>
                </c:pt>
                <c:pt idx="1">
                  <c:v>1233</c:v>
                </c:pt>
                <c:pt idx="2">
                  <c:v>1736</c:v>
                </c:pt>
                <c:pt idx="3">
                  <c:v>1848</c:v>
                </c:pt>
                <c:pt idx="4" formatCode="_(* #,##0.0_);_(* \(#,##0.0\)_)\ ;_(* 0_)">
                  <c:v>1454</c:v>
                </c:pt>
                <c:pt idx="5" formatCode="_(* #,##0.0_);_(* \(#,##0.0\)_)\ ;_(* 0_)">
                  <c:v>1400</c:v>
                </c:pt>
                <c:pt idx="6" formatCode="_(* #,##0.0_);_(* \(#,##0.0\)_)\ ;_(* 0_)">
                  <c:v>1997</c:v>
                </c:pt>
                <c:pt idx="7" formatCode="_(* #,##0.0_);_(* \(#,##0.0\)_)\ ;_(* 0_)">
                  <c:v>1919</c:v>
                </c:pt>
                <c:pt idx="8" formatCode="_(* #,##0.0_);_(* \(#,##0.0\)_)\ ;_(* 0_)">
                  <c:v>3071</c:v>
                </c:pt>
                <c:pt idx="9" formatCode="_(* #,##0.0_);_(* \(#,##0.0\)_)\ ;_(* 0_)">
                  <c:v>1882</c:v>
                </c:pt>
              </c:numCache>
            </c:numRef>
          </c:val>
          <c:extLst>
            <c:ext xmlns:c16="http://schemas.microsoft.com/office/drawing/2014/chart" uri="{C3380CC4-5D6E-409C-BE32-E72D297353CC}">
              <c16:uniqueId val="{00000002-0116-433D-ACA8-32B6404257F5}"/>
            </c:ext>
          </c:extLst>
        </c:ser>
        <c:ser>
          <c:idx val="2"/>
          <c:order val="2"/>
          <c:tx>
            <c:strRef>
              <c:f>Segments!$M$14</c:f>
              <c:strCache>
                <c:ptCount val="1"/>
                <c:pt idx="0">
                  <c:v>Non-core</c:v>
                </c:pt>
              </c:strCache>
            </c:strRef>
          </c:tx>
          <c:spPr>
            <a:solidFill>
              <a:schemeClr val="accent3"/>
            </a:solidFill>
            <a:ln>
              <a:noFill/>
            </a:ln>
            <a:effectLst/>
          </c:spPr>
          <c:invertIfNegative val="0"/>
          <c:cat>
            <c:strRef>
              <c:f>Segments!$N$11:$W$11</c:f>
              <c:strCache>
                <c:ptCount val="10"/>
                <c:pt idx="0">
                  <c:v>Year 2015</c:v>
                </c:pt>
                <c:pt idx="1">
                  <c:v>Year 2016</c:v>
                </c:pt>
                <c:pt idx="2">
                  <c:v>Year 2017</c:v>
                </c:pt>
                <c:pt idx="3">
                  <c:v>Year 2018</c:v>
                </c:pt>
                <c:pt idx="4">
                  <c:v>Year 2019</c:v>
                </c:pt>
                <c:pt idx="5">
                  <c:v>Year 2020</c:v>
                </c:pt>
                <c:pt idx="6">
                  <c:v>Year 2021</c:v>
                </c:pt>
                <c:pt idx="7">
                  <c:v>Year 2022</c:v>
                </c:pt>
                <c:pt idx="8">
                  <c:v>Year 2023</c:v>
                </c:pt>
                <c:pt idx="9">
                  <c:v>Year 2024</c:v>
                </c:pt>
              </c:strCache>
            </c:strRef>
          </c:cat>
          <c:val>
            <c:numRef>
              <c:f>Segments!$N$14:$W$14</c:f>
              <c:numCache>
                <c:formatCode>_(* #,##0.0_);_(* \(#,##0.0\)_)\ ;_(* 0_)</c:formatCode>
                <c:ptCount val="10"/>
                <c:pt idx="0" formatCode="_(* #,##0.0_);_(* \(#,##0.0\);_(* &quot;-&quot;?_);_(@_)">
                  <c:v>-379</c:v>
                </c:pt>
                <c:pt idx="1">
                  <c:v>-364</c:v>
                </c:pt>
                <c:pt idx="2" formatCode="_(* #,##0.0_);_(* \(#,##0.0\);_(* &quot;-&quot;?_);_(@_)">
                  <c:v>-451</c:v>
                </c:pt>
                <c:pt idx="3" formatCode="_(* #,##0.0_);_(* \(#,##0.0\);_(* &quot;-&quot;?_);_(@_)">
                  <c:v>-400</c:v>
                </c:pt>
                <c:pt idx="4" formatCode="_(* #,##0.0_);_(* \(#,##0.0\);_(* &quot;-&quot;?_);_(@_)">
                  <c:v>-88</c:v>
                </c:pt>
                <c:pt idx="5" formatCode="_(* #,##0.0_);_(* \(#,##0.0\);_(* &quot;-&quot;?_);_(@_)">
                  <c:v>-93</c:v>
                </c:pt>
                <c:pt idx="6" formatCode="_(* #,##0.0_);_(* \(#,##0.0\);_(* &quot;-&quot;?_);_(@_)">
                  <c:v>-71</c:v>
                </c:pt>
                <c:pt idx="7" formatCode="_(* #,##0.0_);_(* \(#,##0.0\);_(* &quot;-&quot;?_);_(@_)">
                  <c:v>-57</c:v>
                </c:pt>
                <c:pt idx="8" formatCode="_(* #,##0.0_);_(* \(#,##0.0\);_(* &quot;-&quot;?_);_(@_)">
                  <c:v>-112</c:v>
                </c:pt>
                <c:pt idx="9" formatCode="_(* #,##0.0_);_(* \(#,##0.0\);_(* &quot;-&quot;?_);_(@_)">
                  <c:v>-79</c:v>
                </c:pt>
              </c:numCache>
            </c:numRef>
          </c:val>
          <c:extLst>
            <c:ext xmlns:c16="http://schemas.microsoft.com/office/drawing/2014/chart" uri="{C3380CC4-5D6E-409C-BE32-E72D297353CC}">
              <c16:uniqueId val="{00000004-0116-433D-ACA8-32B6404257F5}"/>
            </c:ext>
          </c:extLst>
        </c:ser>
        <c:ser>
          <c:idx val="3"/>
          <c:order val="3"/>
          <c:tx>
            <c:strRef>
              <c:f>Segments!$M$15</c:f>
              <c:strCache>
                <c:ptCount val="1"/>
                <c:pt idx="0">
                  <c:v>All other</c:v>
                </c:pt>
              </c:strCache>
            </c:strRef>
          </c:tx>
          <c:spPr>
            <a:solidFill>
              <a:schemeClr val="accent4"/>
            </a:solidFill>
            <a:ln>
              <a:noFill/>
            </a:ln>
            <a:effectLst/>
          </c:spPr>
          <c:invertIfNegative val="0"/>
          <c:cat>
            <c:strRef>
              <c:f>Segments!$N$11:$W$11</c:f>
              <c:strCache>
                <c:ptCount val="10"/>
                <c:pt idx="0">
                  <c:v>Year 2015</c:v>
                </c:pt>
                <c:pt idx="1">
                  <c:v>Year 2016</c:v>
                </c:pt>
                <c:pt idx="2">
                  <c:v>Year 2017</c:v>
                </c:pt>
                <c:pt idx="3">
                  <c:v>Year 2018</c:v>
                </c:pt>
                <c:pt idx="4">
                  <c:v>Year 2019</c:v>
                </c:pt>
                <c:pt idx="5">
                  <c:v>Year 2020</c:v>
                </c:pt>
                <c:pt idx="6">
                  <c:v>Year 2021</c:v>
                </c:pt>
                <c:pt idx="7">
                  <c:v>Year 2022</c:v>
                </c:pt>
                <c:pt idx="8">
                  <c:v>Year 2023</c:v>
                </c:pt>
                <c:pt idx="9">
                  <c:v>Year 2024</c:v>
                </c:pt>
              </c:strCache>
            </c:strRef>
          </c:cat>
          <c:val>
            <c:numRef>
              <c:f>Segments!$N$15:$W$15</c:f>
              <c:numCache>
                <c:formatCode>_(* #,##0.0_);_(* \(#,##0.0\)_)\ ;_(* 0_)</c:formatCode>
                <c:ptCount val="10"/>
                <c:pt idx="0">
                  <c:v>36</c:v>
                </c:pt>
                <c:pt idx="1">
                  <c:v>34</c:v>
                </c:pt>
                <c:pt idx="2">
                  <c:v>94</c:v>
                </c:pt>
                <c:pt idx="3">
                  <c:v>124</c:v>
                </c:pt>
                <c:pt idx="4" formatCode="_(* #,##0.0_);_(* \(#,##0.0\);_(* &quot;-&quot;?_);_(@_)">
                  <c:v>13</c:v>
                </c:pt>
                <c:pt idx="5">
                  <c:v>2</c:v>
                </c:pt>
                <c:pt idx="6">
                  <c:v>5</c:v>
                </c:pt>
              </c:numCache>
            </c:numRef>
          </c:val>
          <c:extLst>
            <c:ext xmlns:c16="http://schemas.microsoft.com/office/drawing/2014/chart" uri="{C3380CC4-5D6E-409C-BE32-E72D297353CC}">
              <c16:uniqueId val="{00000006-0116-433D-ACA8-32B6404257F5}"/>
            </c:ext>
          </c:extLst>
        </c:ser>
        <c:dLbls>
          <c:showLegendKey val="0"/>
          <c:showVal val="0"/>
          <c:showCatName val="0"/>
          <c:showSerName val="0"/>
          <c:showPercent val="0"/>
          <c:showBubbleSize val="0"/>
        </c:dLbls>
        <c:gapWidth val="150"/>
        <c:overlap val="100"/>
        <c:axId val="164443655"/>
        <c:axId val="164450311"/>
      </c:barChart>
      <c:catAx>
        <c:axId val="16444365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450311"/>
        <c:crosses val="autoZero"/>
        <c:auto val="1"/>
        <c:lblAlgn val="ctr"/>
        <c:lblOffset val="100"/>
        <c:noMultiLvlLbl val="0"/>
      </c:catAx>
      <c:valAx>
        <c:axId val="16445031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 millions of the reported currency</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_);_(* \(#,##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44365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4" Type="http://schemas.openxmlformats.org/officeDocument/2006/relationships/chart" Target="../charts/chart5.xml"/></Relationships>
</file>

<file path=xl/drawings/_rels/drawing3.xml.rels><?xml version="1.0" encoding="UTF-8" standalone="yes"?>
<Relationships xmlns="http://schemas.openxmlformats.org/package/2006/relationships"><Relationship Id="rId8" Type="http://schemas.openxmlformats.org/officeDocument/2006/relationships/chart" Target="../charts/chart10.xml"/><Relationship Id="rId3" Type="http://schemas.openxmlformats.org/officeDocument/2006/relationships/chart" Target="../charts/chart6.xml"/><Relationship Id="rId7" Type="http://schemas.openxmlformats.org/officeDocument/2006/relationships/chart" Target="../charts/chart9.xml"/><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chart" Target="../charts/chart8.xml"/><Relationship Id="rId5" Type="http://schemas.openxmlformats.org/officeDocument/2006/relationships/image" Target="../media/image4.png"/><Relationship Id="rId4" Type="http://schemas.openxmlformats.org/officeDocument/2006/relationships/chart" Target="../charts/chart7.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3.xml"/><Relationship Id="rId2" Type="http://schemas.openxmlformats.org/officeDocument/2006/relationships/chart" Target="../charts/chart12.xml"/><Relationship Id="rId1" Type="http://schemas.openxmlformats.org/officeDocument/2006/relationships/chart" Target="../charts/chart11.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6.xml.rels><?xml version="1.0" encoding="UTF-8" standalone="yes"?>
<Relationships xmlns="http://schemas.openxmlformats.org/package/2006/relationships"><Relationship Id="rId1" Type="http://schemas.openxmlformats.org/officeDocument/2006/relationships/image" Target="../media/image5.png"/></Relationships>
</file>

<file path=xl/drawings/_rels/drawing7.xml.rels><?xml version="1.0" encoding="UTF-8" standalone="yes"?>
<Relationships xmlns="http://schemas.openxmlformats.org/package/2006/relationships"><Relationship Id="rId1" Type="http://schemas.openxmlformats.org/officeDocument/2006/relationships/image" Target="../media/image5.png"/></Relationships>
</file>

<file path=xl/drawings/_rels/drawing8.xml.rels><?xml version="1.0" encoding="UTF-8" standalone="yes"?>
<Relationships xmlns="http://schemas.openxmlformats.org/package/2006/relationships"><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31</xdr:col>
      <xdr:colOff>466725</xdr:colOff>
      <xdr:row>2</xdr:row>
      <xdr:rowOff>171450</xdr:rowOff>
    </xdr:from>
    <xdr:to>
      <xdr:col>39</xdr:col>
      <xdr:colOff>161925</xdr:colOff>
      <xdr:row>16</xdr:row>
      <xdr:rowOff>114300</xdr:rowOff>
    </xdr:to>
    <xdr:graphicFrame macro="">
      <xdr:nvGraphicFramePr>
        <xdr:cNvPr id="3" name="Chart 2">
          <a:extLst>
            <a:ext uri="{FF2B5EF4-FFF2-40B4-BE49-F238E27FC236}">
              <a16:creationId xmlns:a16="http://schemas.microsoft.com/office/drawing/2014/main" id="{436CD873-10C0-DA11-42D5-950E254F7CE3}"/>
            </a:ext>
            <a:ext uri="{147F2762-F138-4A5C-976F-8EAC2B608ADB}">
              <a16:predDERef xmlns:a16="http://schemas.microsoft.com/office/drawing/2014/main" pred="{A134C285-C718-FC10-A33D-0855EED8E9F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1457325</xdr:colOff>
      <xdr:row>11</xdr:row>
      <xdr:rowOff>19050</xdr:rowOff>
    </xdr:from>
    <xdr:to>
      <xdr:col>11</xdr:col>
      <xdr:colOff>28575</xdr:colOff>
      <xdr:row>19</xdr:row>
      <xdr:rowOff>161925</xdr:rowOff>
    </xdr:to>
    <xdr:pic>
      <xdr:nvPicPr>
        <xdr:cNvPr id="8" name="Picture 7">
          <a:extLst>
            <a:ext uri="{FF2B5EF4-FFF2-40B4-BE49-F238E27FC236}">
              <a16:creationId xmlns:a16="http://schemas.microsoft.com/office/drawing/2014/main" id="{BC0DD0F7-B9AC-5AE1-B41F-6D9F68FD6393}"/>
            </a:ext>
            <a:ext uri="{147F2762-F138-4A5C-976F-8EAC2B608ADB}">
              <a16:predDERef xmlns:a16="http://schemas.microsoft.com/office/drawing/2014/main" pred="{436CD873-10C0-DA11-42D5-950E254F7CE3}"/>
            </a:ext>
          </a:extLst>
        </xdr:cNvPr>
        <xdr:cNvPicPr>
          <a:picLocks noChangeAspect="1"/>
        </xdr:cNvPicPr>
      </xdr:nvPicPr>
      <xdr:blipFill>
        <a:blip xmlns:r="http://schemas.openxmlformats.org/officeDocument/2006/relationships" r:embed="rId2"/>
        <a:stretch>
          <a:fillRect/>
        </a:stretch>
      </xdr:blipFill>
      <xdr:spPr>
        <a:xfrm>
          <a:off x="2676525" y="2200275"/>
          <a:ext cx="6010275" cy="17430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45</xdr:col>
      <xdr:colOff>168189</xdr:colOff>
      <xdr:row>11</xdr:row>
      <xdr:rowOff>81464</xdr:rowOff>
    </xdr:from>
    <xdr:to>
      <xdr:col>51</xdr:col>
      <xdr:colOff>552622</xdr:colOff>
      <xdr:row>24</xdr:row>
      <xdr:rowOff>147366</xdr:rowOff>
    </xdr:to>
    <xdr:graphicFrame macro="">
      <xdr:nvGraphicFramePr>
        <xdr:cNvPr id="6" name="Chart 5">
          <a:extLst>
            <a:ext uri="{FF2B5EF4-FFF2-40B4-BE49-F238E27FC236}">
              <a16:creationId xmlns:a16="http://schemas.microsoft.com/office/drawing/2014/main" id="{89047E84-A062-2EA3-959A-7A01DFCDD4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44</xdr:col>
      <xdr:colOff>225396</xdr:colOff>
      <xdr:row>27</xdr:row>
      <xdr:rowOff>104346</xdr:rowOff>
    </xdr:from>
    <xdr:to>
      <xdr:col>50</xdr:col>
      <xdr:colOff>609829</xdr:colOff>
      <xdr:row>37</xdr:row>
      <xdr:rowOff>78718</xdr:rowOff>
    </xdr:to>
    <xdr:graphicFrame macro="">
      <xdr:nvGraphicFramePr>
        <xdr:cNvPr id="7" name="Chart 6">
          <a:extLst>
            <a:ext uri="{FF2B5EF4-FFF2-40B4-BE49-F238E27FC236}">
              <a16:creationId xmlns:a16="http://schemas.microsoft.com/office/drawing/2014/main" id="{52F59104-1C5F-C276-CD7B-7789491ED7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53</xdr:col>
      <xdr:colOff>10160</xdr:colOff>
      <xdr:row>46</xdr:row>
      <xdr:rowOff>10160</xdr:rowOff>
    </xdr:from>
    <xdr:to>
      <xdr:col>59</xdr:col>
      <xdr:colOff>375920</xdr:colOff>
      <xdr:row>59</xdr:row>
      <xdr:rowOff>111760</xdr:rowOff>
    </xdr:to>
    <xdr:graphicFrame macro="">
      <xdr:nvGraphicFramePr>
        <xdr:cNvPr id="9" name="Chart 8">
          <a:extLst>
            <a:ext uri="{FF2B5EF4-FFF2-40B4-BE49-F238E27FC236}">
              <a16:creationId xmlns:a16="http://schemas.microsoft.com/office/drawing/2014/main" id="{036A065D-091E-8698-F644-F7B1674853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53</xdr:col>
      <xdr:colOff>243840</xdr:colOff>
      <xdr:row>63</xdr:row>
      <xdr:rowOff>101600</xdr:rowOff>
    </xdr:from>
    <xdr:to>
      <xdr:col>59</xdr:col>
      <xdr:colOff>609600</xdr:colOff>
      <xdr:row>77</xdr:row>
      <xdr:rowOff>0</xdr:rowOff>
    </xdr:to>
    <xdr:graphicFrame macro="">
      <xdr:nvGraphicFramePr>
        <xdr:cNvPr id="11" name="Chart 10">
          <a:extLst>
            <a:ext uri="{FF2B5EF4-FFF2-40B4-BE49-F238E27FC236}">
              <a16:creationId xmlns:a16="http://schemas.microsoft.com/office/drawing/2014/main" id="{453AAF9E-E78A-0C01-5414-49EC1FC23A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45</xdr:row>
      <xdr:rowOff>0</xdr:rowOff>
    </xdr:from>
    <xdr:to>
      <xdr:col>5</xdr:col>
      <xdr:colOff>1457325</xdr:colOff>
      <xdr:row>59</xdr:row>
      <xdr:rowOff>163223</xdr:rowOff>
    </xdr:to>
    <xdr:pic>
      <xdr:nvPicPr>
        <xdr:cNvPr id="201" name="Picture 5">
          <a:extLst>
            <a:ext uri="{FF2B5EF4-FFF2-40B4-BE49-F238E27FC236}">
              <a16:creationId xmlns:a16="http://schemas.microsoft.com/office/drawing/2014/main" id="{45ADA27E-E1AE-40DA-A4A9-0A292411105B}"/>
            </a:ext>
            <a:ext uri="{147F2762-F138-4A5C-976F-8EAC2B608ADB}">
              <a16:predDERef xmlns:a16="http://schemas.microsoft.com/office/drawing/2014/main" pred="{8AC6A5E5-2F53-479D-BFEF-1DEA8104D8B6}"/>
            </a:ext>
          </a:extLst>
        </xdr:cNvPr>
        <xdr:cNvPicPr>
          <a:picLocks noChangeAspect="1"/>
        </xdr:cNvPicPr>
      </xdr:nvPicPr>
      <xdr:blipFill>
        <a:blip xmlns:r="http://schemas.openxmlformats.org/officeDocument/2006/relationships" r:embed="rId1"/>
        <a:stretch>
          <a:fillRect/>
        </a:stretch>
      </xdr:blipFill>
      <xdr:spPr>
        <a:xfrm>
          <a:off x="180975" y="9001125"/>
          <a:ext cx="7315200" cy="3714750"/>
        </a:xfrm>
        <a:prstGeom prst="rect">
          <a:avLst/>
        </a:prstGeom>
      </xdr:spPr>
    </xdr:pic>
    <xdr:clientData/>
  </xdr:twoCellAnchor>
  <xdr:twoCellAnchor editAs="oneCell">
    <xdr:from>
      <xdr:col>6</xdr:col>
      <xdr:colOff>0</xdr:colOff>
      <xdr:row>45</xdr:row>
      <xdr:rowOff>0</xdr:rowOff>
    </xdr:from>
    <xdr:to>
      <xdr:col>11</xdr:col>
      <xdr:colOff>822629</xdr:colOff>
      <xdr:row>60</xdr:row>
      <xdr:rowOff>34202</xdr:rowOff>
    </xdr:to>
    <xdr:pic>
      <xdr:nvPicPr>
        <xdr:cNvPr id="200" name="Picture 6">
          <a:extLst>
            <a:ext uri="{FF2B5EF4-FFF2-40B4-BE49-F238E27FC236}">
              <a16:creationId xmlns:a16="http://schemas.microsoft.com/office/drawing/2014/main" id="{B3B2B132-E447-4D75-8B37-B57CCC0284E8}"/>
            </a:ext>
            <a:ext uri="{147F2762-F138-4A5C-976F-8EAC2B608ADB}">
              <a16:predDERef xmlns:a16="http://schemas.microsoft.com/office/drawing/2014/main" pred="{45ADA27E-E1AE-40DA-A4A9-0A292411105B}"/>
            </a:ext>
          </a:extLst>
        </xdr:cNvPr>
        <xdr:cNvPicPr>
          <a:picLocks noChangeAspect="1"/>
        </xdr:cNvPicPr>
      </xdr:nvPicPr>
      <xdr:blipFill>
        <a:blip xmlns:r="http://schemas.openxmlformats.org/officeDocument/2006/relationships" r:embed="rId2"/>
        <a:stretch>
          <a:fillRect/>
        </a:stretch>
      </xdr:blipFill>
      <xdr:spPr>
        <a:xfrm>
          <a:off x="7620000" y="9001125"/>
          <a:ext cx="8105775" cy="3781425"/>
        </a:xfrm>
        <a:prstGeom prst="rect">
          <a:avLst/>
        </a:prstGeom>
      </xdr:spPr>
    </xdr:pic>
    <xdr:clientData/>
  </xdr:twoCellAnchor>
  <xdr:twoCellAnchor>
    <xdr:from>
      <xdr:col>20</xdr:col>
      <xdr:colOff>983624</xdr:colOff>
      <xdr:row>87</xdr:row>
      <xdr:rowOff>2324</xdr:rowOff>
    </xdr:from>
    <xdr:to>
      <xdr:col>30</xdr:col>
      <xdr:colOff>185056</xdr:colOff>
      <xdr:row>103</xdr:row>
      <xdr:rowOff>147243</xdr:rowOff>
    </xdr:to>
    <xdr:graphicFrame macro="">
      <xdr:nvGraphicFramePr>
        <xdr:cNvPr id="203" name="Chart 5">
          <a:extLst>
            <a:ext uri="{FF2B5EF4-FFF2-40B4-BE49-F238E27FC236}">
              <a16:creationId xmlns:a16="http://schemas.microsoft.com/office/drawing/2014/main" id="{AD2F81A4-2255-9173-17EE-C8898D532D55}"/>
            </a:ext>
            <a:ext uri="{147F2762-F138-4A5C-976F-8EAC2B608ADB}">
              <a16:predDERef xmlns:a16="http://schemas.microsoft.com/office/drawing/2014/main" pred="{B3B2B132-E447-4D75-8B37-B57CCC0284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28575</xdr:colOff>
      <xdr:row>44</xdr:row>
      <xdr:rowOff>104775</xdr:rowOff>
    </xdr:from>
    <xdr:to>
      <xdr:col>20</xdr:col>
      <xdr:colOff>914400</xdr:colOff>
      <xdr:row>62</xdr:row>
      <xdr:rowOff>104775</xdr:rowOff>
    </xdr:to>
    <xdr:graphicFrame macro="">
      <xdr:nvGraphicFramePr>
        <xdr:cNvPr id="206" name="Chart 1">
          <a:extLst>
            <a:ext uri="{FF2B5EF4-FFF2-40B4-BE49-F238E27FC236}">
              <a16:creationId xmlns:a16="http://schemas.microsoft.com/office/drawing/2014/main" id="{978EFD17-7D1A-4F71-8D25-0C2FC172206D}"/>
            </a:ext>
            <a:ext uri="{147F2762-F138-4A5C-976F-8EAC2B608ADB}">
              <a16:predDERef xmlns:a16="http://schemas.microsoft.com/office/drawing/2014/main" pred="{AD2F81A4-2255-9173-17EE-C8898D532D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10</xdr:col>
      <xdr:colOff>25400</xdr:colOff>
      <xdr:row>212</xdr:row>
      <xdr:rowOff>76200</xdr:rowOff>
    </xdr:from>
    <xdr:to>
      <xdr:col>13</xdr:col>
      <xdr:colOff>700710</xdr:colOff>
      <xdr:row>224</xdr:row>
      <xdr:rowOff>146412</xdr:rowOff>
    </xdr:to>
    <xdr:pic>
      <xdr:nvPicPr>
        <xdr:cNvPr id="2" name="Picture 2">
          <a:extLst>
            <a:ext uri="{FF2B5EF4-FFF2-40B4-BE49-F238E27FC236}">
              <a16:creationId xmlns:a16="http://schemas.microsoft.com/office/drawing/2014/main" id="{AF870BC1-3DA9-F644-BF4E-AE2B52C1B7DB}"/>
            </a:ext>
          </a:extLst>
        </xdr:cNvPr>
        <xdr:cNvPicPr>
          <a:picLocks noChangeAspect="1"/>
        </xdr:cNvPicPr>
      </xdr:nvPicPr>
      <xdr:blipFill>
        <a:blip xmlns:r="http://schemas.openxmlformats.org/officeDocument/2006/relationships" r:embed="rId5"/>
        <a:stretch>
          <a:fillRect/>
        </a:stretch>
      </xdr:blipFill>
      <xdr:spPr>
        <a:xfrm>
          <a:off x="15748000" y="44145200"/>
          <a:ext cx="4696393" cy="2508612"/>
        </a:xfrm>
        <a:prstGeom prst="rect">
          <a:avLst/>
        </a:prstGeom>
      </xdr:spPr>
    </xdr:pic>
    <xdr:clientData/>
  </xdr:twoCellAnchor>
  <xdr:twoCellAnchor>
    <xdr:from>
      <xdr:col>40</xdr:col>
      <xdr:colOff>333375</xdr:colOff>
      <xdr:row>4</xdr:row>
      <xdr:rowOff>47625</xdr:rowOff>
    </xdr:from>
    <xdr:to>
      <xdr:col>46</xdr:col>
      <xdr:colOff>371475</xdr:colOff>
      <xdr:row>17</xdr:row>
      <xdr:rowOff>190500</xdr:rowOff>
    </xdr:to>
    <xdr:graphicFrame macro="">
      <xdr:nvGraphicFramePr>
        <xdr:cNvPr id="3" name="Chart 2">
          <a:extLst>
            <a:ext uri="{FF2B5EF4-FFF2-40B4-BE49-F238E27FC236}">
              <a16:creationId xmlns:a16="http://schemas.microsoft.com/office/drawing/2014/main" id="{379C5C6E-DE76-F985-4618-F7131146CD22}"/>
            </a:ext>
            <a:ext uri="{147F2762-F138-4A5C-976F-8EAC2B608ADB}">
              <a16:predDERef xmlns:a16="http://schemas.microsoft.com/office/drawing/2014/main" pred="{AF870BC1-3DA9-F644-BF4E-AE2B52C1B7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49</xdr:col>
      <xdr:colOff>95250</xdr:colOff>
      <xdr:row>22</xdr:row>
      <xdr:rowOff>104775</xdr:rowOff>
    </xdr:from>
    <xdr:to>
      <xdr:col>53</xdr:col>
      <xdr:colOff>638175</xdr:colOff>
      <xdr:row>37</xdr:row>
      <xdr:rowOff>38100</xdr:rowOff>
    </xdr:to>
    <xdr:graphicFrame macro="">
      <xdr:nvGraphicFramePr>
        <xdr:cNvPr id="5" name="Chart 4" descr="Chart type: Clustered Column. 'Field2'&#10;&#10;Description automatically generated">
          <a:extLst>
            <a:ext uri="{FF2B5EF4-FFF2-40B4-BE49-F238E27FC236}">
              <a16:creationId xmlns:a16="http://schemas.microsoft.com/office/drawing/2014/main" id="{7237AAB6-E01F-BF08-FE14-46A27C66BF5D}"/>
            </a:ext>
            <a:ext uri="{147F2762-F138-4A5C-976F-8EAC2B608ADB}">
              <a16:predDERef xmlns:a16="http://schemas.microsoft.com/office/drawing/2014/main" pred="{379C5C6E-DE76-F985-4618-F7131146CD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55</xdr:col>
      <xdr:colOff>552450</xdr:colOff>
      <xdr:row>22</xdr:row>
      <xdr:rowOff>76200</xdr:rowOff>
    </xdr:from>
    <xdr:to>
      <xdr:col>59</xdr:col>
      <xdr:colOff>1066800</xdr:colOff>
      <xdr:row>36</xdr:row>
      <xdr:rowOff>19050</xdr:rowOff>
    </xdr:to>
    <xdr:graphicFrame macro="">
      <xdr:nvGraphicFramePr>
        <xdr:cNvPr id="7" name="Chart 6" descr="Chart type: Clustered Column. 'Field2'&#10;&#10;Description automatically generated">
          <a:extLst>
            <a:ext uri="{FF2B5EF4-FFF2-40B4-BE49-F238E27FC236}">
              <a16:creationId xmlns:a16="http://schemas.microsoft.com/office/drawing/2014/main" id="{F45F84A1-8433-4DCA-29C0-60656F9B3FAA}"/>
            </a:ext>
            <a:ext uri="{147F2762-F138-4A5C-976F-8EAC2B608ADB}">
              <a16:predDERef xmlns:a16="http://schemas.microsoft.com/office/drawing/2014/main" pred="{7237AAB6-E01F-BF08-FE14-46A27C66BF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1857375</xdr:colOff>
      <xdr:row>10</xdr:row>
      <xdr:rowOff>161925</xdr:rowOff>
    </xdr:from>
    <xdr:to>
      <xdr:col>9</xdr:col>
      <xdr:colOff>428624</xdr:colOff>
      <xdr:row>31</xdr:row>
      <xdr:rowOff>23813</xdr:rowOff>
    </xdr:to>
    <xdr:graphicFrame macro="">
      <xdr:nvGraphicFramePr>
        <xdr:cNvPr id="121" name="Chart 2">
          <a:extLst>
            <a:ext uri="{FF2B5EF4-FFF2-40B4-BE49-F238E27FC236}">
              <a16:creationId xmlns:a16="http://schemas.microsoft.com/office/drawing/2014/main" id="{412E10F8-6ADE-6C06-BDB7-F48990CC9E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1874042</xdr:colOff>
      <xdr:row>31</xdr:row>
      <xdr:rowOff>171449</xdr:rowOff>
    </xdr:from>
    <xdr:to>
      <xdr:col>9</xdr:col>
      <xdr:colOff>442911</xdr:colOff>
      <xdr:row>48</xdr:row>
      <xdr:rowOff>52387</xdr:rowOff>
    </xdr:to>
    <xdr:graphicFrame macro="">
      <xdr:nvGraphicFramePr>
        <xdr:cNvPr id="122" name="Chart 4">
          <a:extLst>
            <a:ext uri="{FF2B5EF4-FFF2-40B4-BE49-F238E27FC236}">
              <a16:creationId xmlns:a16="http://schemas.microsoft.com/office/drawing/2014/main" id="{F414A836-DD18-ABF8-6DCD-9C5E302ACC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1869279</xdr:colOff>
      <xdr:row>48</xdr:row>
      <xdr:rowOff>147636</xdr:rowOff>
    </xdr:from>
    <xdr:to>
      <xdr:col>9</xdr:col>
      <xdr:colOff>452437</xdr:colOff>
      <xdr:row>65</xdr:row>
      <xdr:rowOff>19050</xdr:rowOff>
    </xdr:to>
    <xdr:graphicFrame macro="">
      <xdr:nvGraphicFramePr>
        <xdr:cNvPr id="168" name="Chart 10">
          <a:extLst>
            <a:ext uri="{FF2B5EF4-FFF2-40B4-BE49-F238E27FC236}">
              <a16:creationId xmlns:a16="http://schemas.microsoft.com/office/drawing/2014/main" id="{3BA32914-FAEB-0B47-90F3-ECAE900EAF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11</xdr:col>
      <xdr:colOff>466725</xdr:colOff>
      <xdr:row>16</xdr:row>
      <xdr:rowOff>95250</xdr:rowOff>
    </xdr:from>
    <xdr:to>
      <xdr:col>23</xdr:col>
      <xdr:colOff>495300</xdr:colOff>
      <xdr:row>51</xdr:row>
      <xdr:rowOff>95250</xdr:rowOff>
    </xdr:to>
    <xdr:graphicFrame macro="">
      <xdr:nvGraphicFramePr>
        <xdr:cNvPr id="33" name="Chart 13">
          <a:extLst>
            <a:ext uri="{FF2B5EF4-FFF2-40B4-BE49-F238E27FC236}">
              <a16:creationId xmlns:a16="http://schemas.microsoft.com/office/drawing/2014/main" id="{DF9E8C3C-68B5-00DA-2164-40E4893356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oneCellAnchor>
    <xdr:from>
      <xdr:col>0</xdr:col>
      <xdr:colOff>28575</xdr:colOff>
      <xdr:row>0</xdr:row>
      <xdr:rowOff>28575</xdr:rowOff>
    </xdr:from>
    <xdr:ext cx="1524000" cy="419100"/>
    <xdr:pic>
      <xdr:nvPicPr>
        <xdr:cNvPr id="2" name="Picture 1">
          <a:extLst>
            <a:ext uri="{FF2B5EF4-FFF2-40B4-BE49-F238E27FC236}">
              <a16:creationId xmlns:a16="http://schemas.microsoft.com/office/drawing/2014/main" id="{7478B67F-898D-B849-A9D5-43E4DF11F135}"/>
            </a:ext>
          </a:extLst>
        </xdr:cNvPr>
        <xdr:cNvPicPr>
          <a:picLocks noChangeAspect="1"/>
        </xdr:cNvPicPr>
      </xdr:nvPicPr>
      <xdr:blipFill>
        <a:blip xmlns:r="http://schemas.openxmlformats.org/officeDocument/2006/relationships" r:embed="rId1"/>
        <a:stretch>
          <a:fillRect/>
        </a:stretch>
      </xdr:blipFill>
      <xdr:spPr>
        <a:xfrm>
          <a:off x="28575" y="28575"/>
          <a:ext cx="1524000" cy="419100"/>
        </a:xfrm>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oneCellAnchor>
    <xdr:from>
      <xdr:col>0</xdr:col>
      <xdr:colOff>301625</xdr:colOff>
      <xdr:row>0</xdr:row>
      <xdr:rowOff>79375</xdr:rowOff>
    </xdr:from>
    <xdr:ext cx="1524000" cy="419100"/>
    <xdr:pic>
      <xdr:nvPicPr>
        <xdr:cNvPr id="2" name="Picture 1">
          <a:extLst>
            <a:ext uri="{FF2B5EF4-FFF2-40B4-BE49-F238E27FC236}">
              <a16:creationId xmlns:a16="http://schemas.microsoft.com/office/drawing/2014/main" id="{596F7F41-EC63-49F1-A8D1-7C12A2810173}"/>
            </a:ext>
          </a:extLst>
        </xdr:cNvPr>
        <xdr:cNvPicPr>
          <a:picLocks noChangeAspect="1"/>
        </xdr:cNvPicPr>
      </xdr:nvPicPr>
      <xdr:blipFill>
        <a:blip xmlns:r="http://schemas.openxmlformats.org/officeDocument/2006/relationships" r:embed="rId1"/>
        <a:stretch>
          <a:fillRect/>
        </a:stretch>
      </xdr:blipFill>
      <xdr:spPr>
        <a:xfrm>
          <a:off x="301625" y="79375"/>
          <a:ext cx="1524000" cy="419100"/>
        </a:xfrm>
        <a:prstGeom prst="rect">
          <a:avLst/>
        </a:prstGeom>
      </xdr:spPr>
    </xdr:pic>
    <xdr:clientData/>
  </xdr:oneCellAnchor>
</xdr:wsDr>
</file>

<file path=xl/drawings/drawing8.xml><?xml version="1.0" encoding="utf-8"?>
<xdr:wsDr xmlns:xdr="http://schemas.openxmlformats.org/drawingml/2006/spreadsheetDrawing" xmlns:a="http://schemas.openxmlformats.org/drawingml/2006/main">
  <xdr:oneCellAnchor>
    <xdr:from>
      <xdr:col>0</xdr:col>
      <xdr:colOff>28575</xdr:colOff>
      <xdr:row>0</xdr:row>
      <xdr:rowOff>28575</xdr:rowOff>
    </xdr:from>
    <xdr:ext cx="1524000" cy="419100"/>
    <xdr:pic>
      <xdr:nvPicPr>
        <xdr:cNvPr id="2" name="Picture 1">
          <a:extLst>
            <a:ext uri="{FF2B5EF4-FFF2-40B4-BE49-F238E27FC236}">
              <a16:creationId xmlns:a16="http://schemas.microsoft.com/office/drawing/2014/main" id="{8223DA37-9D07-CA4C-AADB-5B4FFD7075B9}"/>
            </a:ext>
          </a:extLst>
        </xdr:cNvPr>
        <xdr:cNvPicPr>
          <a:picLocks noChangeAspect="1"/>
        </xdr:cNvPicPr>
      </xdr:nvPicPr>
      <xdr:blipFill>
        <a:blip xmlns:r="http://schemas.openxmlformats.org/officeDocument/2006/relationships" r:embed="rId1"/>
        <a:stretch>
          <a:fillRect/>
        </a:stretch>
      </xdr:blipFill>
      <xdr:spPr>
        <a:xfrm>
          <a:off x="28575" y="28575"/>
          <a:ext cx="1524000" cy="419100"/>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kristocrushcov/Downloads/sempra%20dcf%20practice%20sheet%20%20(kristo).xlsx" TargetMode="External"/><Relationship Id="rId2" Type="http://schemas.openxmlformats.org/officeDocument/2006/relationships/externalLinkPath" Target="https://universityofexeteruk-my.sharepoint.com/Users/kristocrushcov/Downloads/sempra%20dcf%20practice%20sheet%20%20(kristo).xlsx" TargetMode="External"/><Relationship Id="rId1" Type="http://schemas.openxmlformats.org/officeDocument/2006/relationships/externalLinkPath" Target="/Users/kristocrushcov/Downloads/sempra%20dcf%20practice%20sheet%20%20(kristo).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Comparables"/>
      <sheetName val="Valuation"/>
      <sheetName val="Precedents"/>
      <sheetName val="DCF"/>
      <sheetName val="DCF (jeremy edit )"/>
      <sheetName val="DCF (jeremy)"/>
      <sheetName val="Income Statement"/>
      <sheetName val="historicals + forecast "/>
      <sheetName val="Segment Analysis"/>
      <sheetName val="DCF(KRISTO)"/>
      <sheetName val="EST CAPEX"/>
      <sheetName val="est EBIT"/>
      <sheetName val="EST D&amp;A "/>
      <sheetName val="EST EBITDA"/>
      <sheetName val="EST rev"/>
      <sheetName val="Balance Sheet"/>
      <sheetName val="Cash Flow Statement"/>
      <sheetName val="Estimates (Quart) (2)"/>
      <sheetName val="historicals + forecast  (2)"/>
      <sheetName val="Marginal tax rate calculation "/>
      <sheetName val="Net working capital calc"/>
      <sheetName val="historicals + forecast  (3)"/>
      <sheetName val="DCF (2)"/>
    </sheetNames>
    <sheetDataSet>
      <sheetData sheetId="0" refreshError="1"/>
      <sheetData sheetId="1" refreshError="1"/>
      <sheetData sheetId="2" refreshError="1"/>
      <sheetData sheetId="3" refreshError="1"/>
      <sheetData sheetId="4" refreshError="1"/>
      <sheetData sheetId="5" refreshError="1"/>
      <sheetData sheetId="6" refreshError="1">
        <row r="20">
          <cell r="B20">
            <v>11370000</v>
          </cell>
          <cell r="C20">
            <v>12857000</v>
          </cell>
          <cell r="D20">
            <v>14439000</v>
          </cell>
          <cell r="E20">
            <v>16720000</v>
          </cell>
          <cell r="F20">
            <v>13185000</v>
          </cell>
        </row>
        <row r="22">
          <cell r="B22">
            <v>6872000</v>
          </cell>
          <cell r="C22">
            <v>8155000</v>
          </cell>
          <cell r="D22">
            <v>9863000</v>
          </cell>
          <cell r="E22">
            <v>10777000</v>
          </cell>
          <cell r="F22">
            <v>7786000</v>
          </cell>
        </row>
      </sheetData>
      <sheetData sheetId="7" refreshError="1"/>
      <sheetData sheetId="8" refreshError="1">
        <row r="21">
          <cell r="B21">
            <v>1400000</v>
          </cell>
          <cell r="C21">
            <v>1997000</v>
          </cell>
          <cell r="D21">
            <v>1919000</v>
          </cell>
          <cell r="E21">
            <v>3071000</v>
          </cell>
          <cell r="F21">
            <v>1882000</v>
          </cell>
        </row>
        <row r="22">
          <cell r="C22">
            <v>10926000</v>
          </cell>
          <cell r="D22">
            <v>12577000</v>
          </cell>
          <cell r="E22">
            <v>13761000</v>
          </cell>
          <cell r="F22">
            <v>11382000</v>
          </cell>
        </row>
        <row r="28">
          <cell r="B28">
            <v>5313000</v>
          </cell>
        </row>
        <row r="29">
          <cell r="B29">
            <v>4748000</v>
          </cell>
        </row>
        <row r="35">
          <cell r="B35">
            <v>-174000</v>
          </cell>
          <cell r="C35">
            <v>-205000</v>
          </cell>
          <cell r="D35">
            <v>-104000</v>
          </cell>
          <cell r="E35">
            <v>-129000</v>
          </cell>
          <cell r="F35">
            <v>243000</v>
          </cell>
        </row>
        <row r="36">
          <cell r="C36">
            <v>-569000</v>
          </cell>
          <cell r="D36">
            <v>-647000</v>
          </cell>
          <cell r="E36">
            <v>-782000</v>
          </cell>
          <cell r="F36">
            <v>-848000</v>
          </cell>
        </row>
        <row r="42">
          <cell r="B42">
            <v>-413000</v>
          </cell>
        </row>
        <row r="43">
          <cell r="B43">
            <v>-158000</v>
          </cell>
        </row>
        <row r="46">
          <cell r="B46">
            <v>-1081000</v>
          </cell>
          <cell r="C46">
            <v>-1198000</v>
          </cell>
          <cell r="D46">
            <v>-751000</v>
          </cell>
          <cell r="E46">
            <v>-911000</v>
          </cell>
          <cell r="F46">
            <v>-605000</v>
          </cell>
        </row>
        <row r="49">
          <cell r="B49">
            <v>149000</v>
          </cell>
          <cell r="C49">
            <v>238000</v>
          </cell>
          <cell r="D49">
            <v>249000</v>
          </cell>
          <cell r="E49">
            <v>673000</v>
          </cell>
          <cell r="F49">
            <v>-164000</v>
          </cell>
        </row>
        <row r="50">
          <cell r="C50">
            <v>-109000</v>
          </cell>
          <cell r="D50">
            <v>320000</v>
          </cell>
          <cell r="E50">
            <v>-31000</v>
          </cell>
          <cell r="F50">
            <v>184000</v>
          </cell>
        </row>
        <row r="53">
          <cell r="B53">
            <v>1000</v>
          </cell>
        </row>
        <row r="56">
          <cell r="B56">
            <v>190000</v>
          </cell>
        </row>
        <row r="57">
          <cell r="B57">
            <v>96000</v>
          </cell>
        </row>
        <row r="60">
          <cell r="B60">
            <v>249000</v>
          </cell>
          <cell r="C60">
            <v>99000</v>
          </cell>
          <cell r="D60">
            <v>569000</v>
          </cell>
          <cell r="E60">
            <v>642000</v>
          </cell>
          <cell r="F60">
            <v>20000</v>
          </cell>
        </row>
        <row r="63">
          <cell r="B63">
            <v>580000</v>
          </cell>
          <cell r="C63">
            <v>682000</v>
          </cell>
          <cell r="D63">
            <v>310000</v>
          </cell>
          <cell r="E63">
            <v>877000</v>
          </cell>
          <cell r="F63">
            <v>911000</v>
          </cell>
        </row>
        <row r="64">
          <cell r="C64">
            <v>392000</v>
          </cell>
          <cell r="D64">
            <v>1514000</v>
          </cell>
          <cell r="E64">
            <v>1747000</v>
          </cell>
          <cell r="F64">
            <v>1846000</v>
          </cell>
        </row>
        <row r="67">
          <cell r="B67">
            <v>579000</v>
          </cell>
          <cell r="C67">
            <v>616000</v>
          </cell>
          <cell r="D67">
            <v>736000</v>
          </cell>
          <cell r="E67">
            <v>694000</v>
          </cell>
          <cell r="F67">
            <v>781000</v>
          </cell>
        </row>
        <row r="70">
          <cell r="B70">
            <v>824000</v>
          </cell>
        </row>
        <row r="71">
          <cell r="B71">
            <v>504000</v>
          </cell>
        </row>
        <row r="74">
          <cell r="B74">
            <v>3764000</v>
          </cell>
          <cell r="C74">
            <v>1254000</v>
          </cell>
          <cell r="D74">
            <v>2094000</v>
          </cell>
          <cell r="E74">
            <v>3030000</v>
          </cell>
          <cell r="F74">
            <v>2817000</v>
          </cell>
        </row>
        <row r="91">
          <cell r="B91">
            <v>198000</v>
          </cell>
          <cell r="C91">
            <v>239000</v>
          </cell>
          <cell r="D91">
            <v>268000</v>
          </cell>
          <cell r="E91">
            <v>281000</v>
          </cell>
          <cell r="F91">
            <v>297000</v>
          </cell>
        </row>
        <row r="92">
          <cell r="C92">
            <v>1605000</v>
          </cell>
          <cell r="D92">
            <v>1743000</v>
          </cell>
          <cell r="E92">
            <v>1937000</v>
          </cell>
          <cell r="F92">
            <v>2133000</v>
          </cell>
        </row>
        <row r="97">
          <cell r="B97">
            <v>13000</v>
          </cell>
          <cell r="C97">
            <v>11000</v>
          </cell>
        </row>
        <row r="98">
          <cell r="B98">
            <v>801000</v>
          </cell>
        </row>
        <row r="99">
          <cell r="B99">
            <v>654000</v>
          </cell>
        </row>
        <row r="102">
          <cell r="B102">
            <v>1666000</v>
          </cell>
          <cell r="C102">
            <v>1855000</v>
          </cell>
          <cell r="D102">
            <v>2011000</v>
          </cell>
          <cell r="E102">
            <v>2218000</v>
          </cell>
          <cell r="F102">
            <v>2430000</v>
          </cell>
        </row>
        <row r="105">
          <cell r="B105">
            <v>-879000</v>
          </cell>
          <cell r="C105">
            <v>-802000</v>
          </cell>
          <cell r="D105">
            <v>-884000</v>
          </cell>
          <cell r="E105">
            <v>-3832000</v>
          </cell>
          <cell r="F105">
            <v>-3459000</v>
          </cell>
        </row>
        <row r="106">
          <cell r="C106">
            <v>-4204000</v>
          </cell>
          <cell r="D106">
            <v>-4466000</v>
          </cell>
          <cell r="E106">
            <v>-4560000</v>
          </cell>
          <cell r="F106">
            <v>-4560000</v>
          </cell>
        </row>
        <row r="112">
          <cell r="B112">
            <v>-1942000</v>
          </cell>
        </row>
        <row r="113">
          <cell r="B113">
            <v>-1843000</v>
          </cell>
        </row>
        <row r="116">
          <cell r="B116">
            <v>-4676000</v>
          </cell>
          <cell r="C116">
            <v>-5015000</v>
          </cell>
          <cell r="D116">
            <v>-5357000</v>
          </cell>
          <cell r="E116">
            <v>-8397000</v>
          </cell>
          <cell r="F116">
            <v>-8215000</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DotNotation"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s>
</rvTypesInfo>
</file>

<file path=xl/richData/rdrichvalue.xml><?xml version="1.0" encoding="utf-8"?>
<rvData xmlns="http://schemas.microsoft.com/office/spreadsheetml/2017/richdata" count="9">
  <rv s="0">
    <v>https://www.bing.com/financeapi/forcetrigger?t=a1ru6h&amp;q=XNYS%3aEIX&amp;form=skydnc</v>
    <v>Learn more on Bing</v>
  </rv>
  <rv s="1">
    <v>en-GB</v>
    <v>a1ru6h</v>
    <v>268435456</v>
    <v>1</v>
    <v>Powered by Refinitiv</v>
    <v>0</v>
    <v>EDISON INTERNATIONAL (XNYS:EIX)</v>
    <v>2</v>
    <v>3</v>
    <v>Finance</v>
    <v>4</v>
    <v>76.215000000000003</v>
    <v>47.73</v>
    <v>0.70889999999999997</v>
    <v>-0.34</v>
    <v>-1.4409999999999998E-4</v>
    <v>-4.8760000000000001E-3</v>
    <v>-0.01</v>
    <v>USD</v>
    <v>Edison International is an electric utility holding company. The Company is focused on providing clean and reliable energy and energy services through its independent companies. It is the parent holding company of Southern California Edison Company (SCE) and Trio. SCE is a public utility primarily engaged in the business of supplying and delivering electricity to an approximately 50,000 square mile area across Southern, Central and Coastal California. Trio is a global energy advisory firm providing integrated sustainability and energy advisory services to large commercial, industrial and institutional organizations in North America and Europe. Trio provides integrated strategy and implementation solutions in sustainability, renewables, energy procurement, conventional supply, energy optimization and transportation electrification.</v>
    <v>13725</v>
    <v>New York Stock Exchange</v>
    <v>XNYS</v>
    <v>XNYS</v>
    <v>2244 Walnut Grove Ave, P O Box 800, ROSEMEAD, CA, 91770 US</v>
    <v>71.209999999999994</v>
    <v>Electrical Utilities &amp; IPPs</v>
    <v>Stock</v>
    <v>46134.836704015623</v>
    <v>0</v>
    <v>69.275000000000006</v>
    <v>26708620401</v>
    <v>EDISON INTERNATIONAL</v>
    <v>EDISON INTERNATIONAL</v>
    <v>70.77</v>
    <v>9.0821000000000005</v>
    <v>69.73</v>
    <v>69.39</v>
    <v>69.38</v>
    <v>384905900</v>
    <v>EIX</v>
    <v>EDISON INTERNATIONAL (XNYS:EIX)</v>
    <v>1670782</v>
    <v>3065031</v>
    <v>1987</v>
  </rv>
  <rv s="2">
    <v>1</v>
  </rv>
  <rv s="0">
    <v>https://www.bing.com/financeapi/forcetrigger?t=a1s6ww&amp;q=XNYS%3aES&amp;form=skydnc</v>
    <v>Learn more on Bing</v>
  </rv>
  <rv s="1">
    <v>en-GB</v>
    <v>a1s6ww</v>
    <v>268435456</v>
    <v>1</v>
    <v>Powered by Refinitiv</v>
    <v>0</v>
    <v>Eversource Energy (XNYS:ES)</v>
    <v>2</v>
    <v>3</v>
    <v>Finance</v>
    <v>4</v>
    <v>76.41</v>
    <v>56.924999999999997</v>
    <v>0.73409999999999997</v>
    <v>0.21</v>
    <v>2.9839999999999999E-4</v>
    <v>3.1430000000000004E-3</v>
    <v>0.02</v>
    <v>USD</v>
    <v>Eversource Energy is a utility holding company, which is engaged in the energy delivery business through its utility subsidiaries. Its segments include Electric Distribution, Electric Transmission, Natural Gas Distribution and Water Distribution. The Electric Distribution segment is engaged in the distribution of electricity to retail customers in Connecticut, Massachusetts and New Hampshire, respectively, and the solar power facilities of NSTAR Electric Company. The Electric Transmission segment owns and maintains transmission facilities that are part of an interstate power transmission grid over which electricity is transmitted throughout New England. The Natural Gas Distribution distributes natural gas to his customers in central and eastern Massachusetts. The Water Distribution segment provides water services to over 248,000 residential, commercial, industrial, municipal and fire protection and other customers, in 73 towns and cities in Connecticut, Massachusetts and New Hampshire.</v>
    <v>10731</v>
    <v>New York Stock Exchange</v>
    <v>XNYS</v>
    <v>XNYS</v>
    <v>300 Cadwell Dr, SPRINGFIELD, MA, 01104-1742 US</v>
    <v>68.125</v>
    <v>Electrical Utilities &amp; IPPs</v>
    <v>Stock</v>
    <v>46134.837025196095</v>
    <v>3</v>
    <v>66.819999999999993</v>
    <v>25192910459</v>
    <v>Eversource Energy</v>
    <v>Eversource Energy</v>
    <v>67.510000000000005</v>
    <v>14.695</v>
    <v>66.819999999999993</v>
    <v>67.03</v>
    <v>67.05</v>
    <v>375845300</v>
    <v>ES</v>
    <v>Eversource Energy (XNYS:ES)</v>
    <v>1441723</v>
    <v>2528799</v>
    <v>1927</v>
  </rv>
  <rv s="2">
    <v>4</v>
  </rv>
  <rv s="0">
    <v>https://www.bing.com/financeapi/forcetrigger?t=ay4lu2&amp;q=XNAS%3aXEL&amp;form=skydnc</v>
    <v>Learn more on Bing</v>
  </rv>
  <rv s="1">
    <v>en-GB</v>
    <v>ay4lu2</v>
    <v>268435456</v>
    <v>1</v>
    <v>Powered by Refinitiv</v>
    <v>0</v>
    <v>Xcel Energy Inc. (XNAS:XEL)</v>
    <v>2</v>
    <v>3</v>
    <v>Finance</v>
    <v>4</v>
    <v>84.23</v>
    <v>65.209999999999994</v>
    <v>0.39710000000000001</v>
    <v>-0.97</v>
    <v>-1.2799999999999999E-4</v>
    <v>-1.2265999999999999E-2</v>
    <v>-0.01</v>
    <v>USD</v>
    <v>Xcel Energy Inc. is an electric and natural gas delivery company. The Company provides a comprehensive portfolio of energy-related products and services to approximately 3.9 million electric customers and 2.2 million natural gas customers through four utility subsidiaries, NSP-Minnesota, NSP-Wisconsin, PSCo and SPS. The Company operates through two segments. Its regulated electric utility segment generates, purchases, transmits, distributes and sells electricity in Colorado, Michigan, Minnesota, New Mexico, North Dakota, South Dakota, Texas and Wisconsin. In addition, this segment includes sales for resale and provides wholesale transmission service to various entities in the United States. The regulated electric utility segment also includes wholesale commodity and trading operations. Its regulated natural gas utility segment purchases, transports, stores, distributes and sells natural gas primarily in portions of Colorado, Michigan, Minnesota, North Dakota and Wisconsin.</v>
    <v>11534</v>
    <v>Nasdaq Stock Market</v>
    <v>XNAS</v>
    <v>XNAS</v>
    <v>414 Nicollet Mall, MINNEAPOLIS, MN, 55401 US</v>
    <v>80.05</v>
    <v>Electrical Utilities &amp; IPPs</v>
    <v>Stock</v>
    <v>46134.838428135939</v>
    <v>6</v>
    <v>77.349999999999994</v>
    <v>48753309442</v>
    <v>Xcel Energy Inc.</v>
    <v>Xcel Energy Inc.</v>
    <v>79.69</v>
    <v>22.811199999999999</v>
    <v>79.08</v>
    <v>78.11</v>
    <v>78.099999999999994</v>
    <v>624162200</v>
    <v>XEL</v>
    <v>Xcel Energy Inc. (XNAS:XEL)</v>
    <v>4441309</v>
    <v>4429303</v>
    <v>1909</v>
  </rv>
  <rv s="2">
    <v>7</v>
  </rv>
</rvData>
</file>

<file path=xl/richData/rdrichvaluestructure.xml><?xml version="1.0" encoding="utf-8"?>
<rvStructures xmlns="http://schemas.microsoft.com/office/spreadsheetml/2017/richdata" count="3">
  <s t="_hyperlink">
    <k n="Address" t="s"/>
    <k n="Text" t="s"/>
  </s>
  <s t="_linkedentitycore">
    <k n="%EntityCulture" t="s"/>
    <k n="%EntityId" t="s"/>
    <k n="%EntityServiceId"/>
    <k n="%IsRefreshable" t="b"/>
    <k n="%ProviderInfo" t="s"/>
    <k n="_Display" t="spb"/>
    <k n="_DisplayString" t="s"/>
    <k n="_Flags" t="spb"/>
    <k n="_Format" t="spb"/>
    <k n="_Icon" t="s"/>
    <k n="_SubLabel" t="spb"/>
    <k n="52 week high"/>
    <k n="52 week low"/>
    <k n="Beta"/>
    <k n="Change"/>
    <k n="Change % (Extended hours)"/>
    <k n="Change (%)"/>
    <k n="Change (Extended hours)"/>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Price (Extended hours)"/>
    <k n="Shares outstanding"/>
    <k n="Ticker symbol" t="s"/>
    <k n="UniqueName" t="s"/>
    <k n="Volume"/>
    <k n="Volume average"/>
    <k n="Year incorporated"/>
  </s>
  <s t="_linkedentity">
    <k n="%cvi" t="r"/>
  </s>
</rvStructures>
</file>

<file path=xl/richData/rdsupportingpropertybag.xml><?xml version="1.0" encoding="utf-8"?>
<supportingPropertyBags xmlns="http://schemas.microsoft.com/office/spreadsheetml/2017/richdata2">
  <spbArrays count="1">
    <a count="45">
      <v t="s">%EntityServiceId</v>
      <v t="s">_Format</v>
      <v t="s">%IsRefreshable</v>
      <v t="s">%EntityCulture</v>
      <v t="s">%EntityId</v>
      <v t="s">_Icon</v>
      <v t="s">_Display</v>
      <v t="s">Name</v>
      <v t="s">_SubLabel</v>
      <v t="s">Price</v>
      <v t="s">Price (Extended hours)</v>
      <v t="s">Exchange</v>
      <v t="s">Official name</v>
      <v t="s">Last trade time</v>
      <v t="s">Ticker symbol</v>
      <v t="s">Exchange abbreviation</v>
      <v t="s">Change</v>
      <v t="s">Change (Extended hours)</v>
      <v t="s">Change (%)</v>
      <v t="s">Change % (Extended hours)</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ExchangeID</v>
      <v t="s">%ProviderInfo</v>
    </a>
  </spbArrays>
  <spbData count="5">
    <spb s="0">
      <v>0</v>
      <v>Name</v>
      <v>LearnMoreOnLink</v>
    </spb>
    <spb s="1">
      <v>0</v>
      <v>0</v>
      <v>0</v>
    </spb>
    <spb s="2">
      <v>1</v>
      <v>1</v>
      <v>1</v>
      <v>1</v>
    </spb>
    <spb s="3">
      <v>1</v>
      <v>2</v>
      <v>2</v>
      <v>1</v>
      <v>3</v>
      <v>1</v>
      <v>1</v>
      <v>1</v>
      <v>4</v>
      <v>4</v>
      <v>5</v>
      <v>6</v>
      <v>1</v>
      <v>1</v>
      <v>1</v>
      <v>4</v>
      <v>7</v>
      <v>8</v>
      <v>9</v>
      <v>4</v>
      <v>1</v>
      <v>1</v>
      <v>5</v>
    </spb>
    <spb s="4">
      <v>at close</v>
      <v>from previous close</v>
      <v>from previous close</v>
      <v>Source: Nasdaq Last Sale</v>
      <v>GMT</v>
      <v>Real-Time Nasdaq Last Sale</v>
      <v>from close</v>
      <v>from close</v>
    </spb>
  </spbData>
</supportingPropertyBags>
</file>

<file path=xl/richData/rdsupportingpropertybagstructure.xml><?xml version="1.0" encoding="utf-8"?>
<spbStructures xmlns="http://schemas.microsoft.com/office/spreadsheetml/2017/richdata2" count="5">
  <s>
    <k n="^Order" t="spba"/>
    <k n="TitleProperty" t="s"/>
    <k n="SubTitleProperty" t="s"/>
  </s>
  <s>
    <k n="ShowInCardView" t="b"/>
    <k n="ShowInDotNotation" t="b"/>
    <k n="ShowInAutoComplete" t="b"/>
  </s>
  <s>
    <k n="ExchangeID" t="spb"/>
    <k n="UniqueName" t="spb"/>
    <k n="`%ProviderInfo" t="spb"/>
    <k n="LearnMoreOnLink" t="spb"/>
  </s>
  <s>
    <k n="Low" t="i"/>
    <k n="P/E"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k n="Price (Extended hours)" t="i"/>
    <k n="Change (Extended hours)" t="i"/>
    <k n="Change % (Extended hours)" t="i"/>
  </s>
  <s>
    <k n="Price" t="s"/>
    <k n="Change" t="s"/>
    <k n="Change (%)" t="s"/>
    <k n="ExchangeID" t="s"/>
    <k n="Last trade time" t="s"/>
    <k n="Price (Extended hours)" t="s"/>
    <k n="Change (Extended hours)" t="s"/>
    <k n="Change % (Extended hours)" t="s"/>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7">
    <x:dxf>
      <x:numFmt numFmtId="2" formatCode="0.00"/>
    </x:dxf>
    <x:dxf>
      <x:numFmt numFmtId="0" formatCode="General"/>
    </x:dxf>
    <x:dxf>
      <x:numFmt numFmtId="27" formatCode="dd/mm/yyyy\ hh:mm"/>
    </x:dxf>
    <x:dxf>
      <x:numFmt numFmtId="14" formatCode="0.00%"/>
    </x:dxf>
    <x:dxf>
      <x:numFmt numFmtId="3" formatCode="#,##0"/>
    </x:dxf>
    <x:dxf>
      <x:numFmt numFmtId="4" formatCode="#,##0.00"/>
    </x:dxf>
    <x:dxf>
      <x:numFmt numFmtId="1" formatCode="0"/>
    </x:dxf>
  </dxfs>
  <richProperties>
    <rPr n="NumberFormat" t="s"/>
    <rPr n="IsTitleField" t="b"/>
  </richProperties>
  <richStyles>
    <rSty dxfid="1">
      <rpv i="0">_([$$-en-US]* #,##0.00_);_([$$-en-US]* (#,##0.00);_([$$-en-US]* "-"??_);_(@_)</rpv>
    </rSty>
    <rSty dxfid="5">
      <rpv i="0">#,##0.00</rpv>
    </rSty>
    <rSty>
      <rpv i="1">1</rpv>
    </rSty>
    <rSty dxfid="4">
      <rpv i="0">#,##0</rpv>
    </rSty>
    <rSty dxfid="3"/>
    <rSty dxfid="1">
      <rpv i="0">_([$$-en-US]* #,##0_);_([$$-en-US]* (#,##0);_([$$-en-US]* "-"_);_(@_)</rpv>
    </rSty>
    <rSty dxfid="2"/>
    <rSty dxfid="6">
      <rpv i="0">0</rpv>
    </rSty>
    <rSty dxfid="0">
      <rpv i="0">0.00</rpv>
    </rSty>
  </richStyles>
</richStyleShee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A1"/>
  <sheetViews>
    <sheetView workbookViewId="0"/>
  </sheetViews>
  <sheetFormatPr defaultColWidth="8.88671875" defaultRowHeight="14.4" x14ac:dyDescent="0.3"/>
  <sheetData>
    <row r="1" spans="1:157" x14ac:dyDescent="0.3">
      <c r="A1">
        <v>157</v>
      </c>
      <c r="B1" t="s">
        <v>0</v>
      </c>
      <c r="C1" t="s">
        <v>1</v>
      </c>
      <c r="D1" t="s">
        <v>2</v>
      </c>
      <c r="E1" t="s">
        <v>3</v>
      </c>
      <c r="F1" t="s">
        <v>4</v>
      </c>
      <c r="G1" t="s">
        <v>5</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26</v>
      </c>
      <c r="AC1" t="s">
        <v>27</v>
      </c>
      <c r="AD1" t="s">
        <v>28</v>
      </c>
      <c r="AE1" t="s">
        <v>29</v>
      </c>
      <c r="AF1" t="s">
        <v>30</v>
      </c>
      <c r="AG1" t="s">
        <v>31</v>
      </c>
      <c r="AH1" t="s">
        <v>32</v>
      </c>
      <c r="AI1" t="s">
        <v>33</v>
      </c>
      <c r="AJ1" t="s">
        <v>34</v>
      </c>
      <c r="AK1" t="s">
        <v>35</v>
      </c>
      <c r="AL1" t="s">
        <v>36</v>
      </c>
      <c r="AM1" t="s">
        <v>37</v>
      </c>
      <c r="AN1" t="s">
        <v>38</v>
      </c>
      <c r="AO1" t="s">
        <v>39</v>
      </c>
      <c r="AP1" t="s">
        <v>40</v>
      </c>
      <c r="AQ1" t="s">
        <v>41</v>
      </c>
      <c r="AR1" t="s">
        <v>42</v>
      </c>
      <c r="AS1" t="s">
        <v>43</v>
      </c>
      <c r="AT1" t="s">
        <v>44</v>
      </c>
      <c r="AU1" t="s">
        <v>45</v>
      </c>
      <c r="AV1" t="s">
        <v>46</v>
      </c>
      <c r="AW1" t="s">
        <v>47</v>
      </c>
      <c r="AX1" t="s">
        <v>48</v>
      </c>
      <c r="AY1" t="s">
        <v>49</v>
      </c>
      <c r="AZ1" t="s">
        <v>50</v>
      </c>
      <c r="BA1" t="s">
        <v>51</v>
      </c>
      <c r="BB1" t="s">
        <v>52</v>
      </c>
      <c r="BC1" t="s">
        <v>53</v>
      </c>
      <c r="BD1" t="s">
        <v>54</v>
      </c>
      <c r="BE1" t="s">
        <v>55</v>
      </c>
      <c r="BF1" t="s">
        <v>56</v>
      </c>
      <c r="BG1" t="s">
        <v>57</v>
      </c>
      <c r="BH1" t="s">
        <v>58</v>
      </c>
      <c r="BI1" t="s">
        <v>59</v>
      </c>
      <c r="BJ1" t="s">
        <v>60</v>
      </c>
      <c r="BK1" t="s">
        <v>61</v>
      </c>
      <c r="BL1" t="s">
        <v>62</v>
      </c>
      <c r="BM1" t="s">
        <v>63</v>
      </c>
      <c r="BN1" t="s">
        <v>64</v>
      </c>
      <c r="BO1" t="s">
        <v>65</v>
      </c>
      <c r="BP1" t="s">
        <v>66</v>
      </c>
      <c r="BQ1" t="s">
        <v>67</v>
      </c>
      <c r="BR1" t="s">
        <v>68</v>
      </c>
      <c r="BS1" t="s">
        <v>69</v>
      </c>
      <c r="BT1" t="s">
        <v>70</v>
      </c>
      <c r="BU1" t="s">
        <v>71</v>
      </c>
      <c r="BV1" t="s">
        <v>72</v>
      </c>
      <c r="BW1" t="s">
        <v>73</v>
      </c>
      <c r="BX1" t="s">
        <v>74</v>
      </c>
      <c r="BY1" t="s">
        <v>75</v>
      </c>
      <c r="BZ1" t="s">
        <v>76</v>
      </c>
      <c r="CA1" t="s">
        <v>77</v>
      </c>
      <c r="CB1" t="s">
        <v>78</v>
      </c>
      <c r="CC1" t="s">
        <v>79</v>
      </c>
      <c r="CD1" t="s">
        <v>80</v>
      </c>
      <c r="CE1" t="s">
        <v>81</v>
      </c>
      <c r="CF1" t="s">
        <v>82</v>
      </c>
      <c r="CG1" t="s">
        <v>83</v>
      </c>
      <c r="CH1" t="s">
        <v>84</v>
      </c>
      <c r="CI1" t="s">
        <v>85</v>
      </c>
      <c r="CJ1" t="s">
        <v>86</v>
      </c>
      <c r="CK1" t="s">
        <v>87</v>
      </c>
      <c r="CL1" t="s">
        <v>88</v>
      </c>
      <c r="CM1" t="s">
        <v>89</v>
      </c>
      <c r="CN1" t="s">
        <v>90</v>
      </c>
      <c r="CO1" t="s">
        <v>91</v>
      </c>
      <c r="CP1" t="s">
        <v>92</v>
      </c>
      <c r="CQ1" t="s">
        <v>93</v>
      </c>
      <c r="CR1" t="s">
        <v>94</v>
      </c>
      <c r="CS1" t="s">
        <v>95</v>
      </c>
      <c r="CT1" t="s">
        <v>96</v>
      </c>
      <c r="CU1" t="s">
        <v>97</v>
      </c>
      <c r="CV1" t="s">
        <v>98</v>
      </c>
      <c r="CW1" t="s">
        <v>99</v>
      </c>
      <c r="CX1" t="s">
        <v>100</v>
      </c>
      <c r="CY1" t="s">
        <v>101</v>
      </c>
      <c r="CZ1" t="s">
        <v>102</v>
      </c>
      <c r="DA1" t="s">
        <v>103</v>
      </c>
      <c r="DB1" t="s">
        <v>104</v>
      </c>
      <c r="DC1" t="s">
        <v>105</v>
      </c>
      <c r="DD1" t="s">
        <v>106</v>
      </c>
      <c r="DE1" t="s">
        <v>107</v>
      </c>
      <c r="DF1" t="s">
        <v>108</v>
      </c>
      <c r="DG1" t="s">
        <v>109</v>
      </c>
      <c r="DH1" t="s">
        <v>110</v>
      </c>
      <c r="DI1" t="s">
        <v>111</v>
      </c>
      <c r="DJ1" t="s">
        <v>112</v>
      </c>
      <c r="DK1" t="s">
        <v>113</v>
      </c>
      <c r="DL1" t="s">
        <v>114</v>
      </c>
      <c r="DM1" t="s">
        <v>115</v>
      </c>
      <c r="DN1" t="s">
        <v>116</v>
      </c>
      <c r="DO1" t="s">
        <v>117</v>
      </c>
      <c r="DP1" t="s">
        <v>118</v>
      </c>
      <c r="DQ1" t="s">
        <v>119</v>
      </c>
      <c r="DR1" t="s">
        <v>120</v>
      </c>
      <c r="DS1" t="s">
        <v>121</v>
      </c>
      <c r="DT1" t="s">
        <v>122</v>
      </c>
      <c r="DU1" t="s">
        <v>123</v>
      </c>
      <c r="DV1" t="s">
        <v>124</v>
      </c>
      <c r="DW1" t="s">
        <v>125</v>
      </c>
      <c r="DX1" t="s">
        <v>126</v>
      </c>
      <c r="DY1" t="s">
        <v>127</v>
      </c>
      <c r="DZ1" t="s">
        <v>128</v>
      </c>
      <c r="EA1" t="s">
        <v>129</v>
      </c>
      <c r="EB1" t="s">
        <v>130</v>
      </c>
      <c r="EC1" t="s">
        <v>131</v>
      </c>
      <c r="ED1" t="s">
        <v>132</v>
      </c>
      <c r="EE1" t="s">
        <v>133</v>
      </c>
      <c r="EF1" t="s">
        <v>134</v>
      </c>
      <c r="EG1" t="s">
        <v>135</v>
      </c>
      <c r="EH1" t="s">
        <v>136</v>
      </c>
      <c r="EI1" t="s">
        <v>137</v>
      </c>
      <c r="EJ1" t="s">
        <v>138</v>
      </c>
      <c r="EK1" t="s">
        <v>139</v>
      </c>
      <c r="EL1" t="s">
        <v>140</v>
      </c>
      <c r="EM1" t="s">
        <v>141</v>
      </c>
      <c r="EN1" t="s">
        <v>142</v>
      </c>
      <c r="EO1" t="s">
        <v>143</v>
      </c>
      <c r="EP1" t="s">
        <v>144</v>
      </c>
      <c r="EQ1" t="s">
        <v>145</v>
      </c>
      <c r="ER1" t="s">
        <v>146</v>
      </c>
      <c r="ES1" t="s">
        <v>147</v>
      </c>
      <c r="ET1" t="s">
        <v>148</v>
      </c>
      <c r="EU1" t="s">
        <v>149</v>
      </c>
      <c r="EV1" t="s">
        <v>150</v>
      </c>
      <c r="EW1" t="s">
        <v>151</v>
      </c>
      <c r="EX1" t="s">
        <v>152</v>
      </c>
      <c r="EY1" t="s">
        <v>153</v>
      </c>
      <c r="EZ1" t="s">
        <v>154</v>
      </c>
      <c r="FA1" t="s">
        <v>155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C1A808-0CE6-4835-8B91-B0648A971BC4}">
  <sheetPr>
    <pageSetUpPr fitToPage="1"/>
  </sheetPr>
  <dimension ref="A1:Q43"/>
  <sheetViews>
    <sheetView showGridLines="0" view="pageBreakPreview" zoomScale="80" zoomScaleNormal="80" zoomScaleSheetLayoutView="80" workbookViewId="0">
      <pane ySplit="5" topLeftCell="A20" activePane="bottomLeft" state="frozen"/>
      <selection pane="bottomLeft" activeCell="B10" sqref="B10"/>
    </sheetView>
  </sheetViews>
  <sheetFormatPr defaultColWidth="9.109375" defaultRowHeight="15" x14ac:dyDescent="0.25"/>
  <cols>
    <col min="1" max="1" width="2.6640625" style="1" customWidth="1"/>
    <col min="2" max="16" width="12.6640625" style="1" customWidth="1"/>
    <col min="17" max="17" width="2.6640625" style="1" customWidth="1"/>
    <col min="18" max="16384" width="9.109375" style="1"/>
  </cols>
  <sheetData>
    <row r="1" spans="1:17" x14ac:dyDescent="0.25">
      <c r="A1" s="43"/>
      <c r="B1" s="43"/>
      <c r="C1" s="43"/>
      <c r="D1" s="43"/>
      <c r="E1" s="43"/>
      <c r="F1" s="43"/>
      <c r="G1" s="43"/>
      <c r="H1" s="43"/>
      <c r="I1" s="43"/>
      <c r="J1" s="43"/>
      <c r="K1" s="43"/>
      <c r="L1" s="43"/>
      <c r="M1" s="43"/>
      <c r="N1" s="43"/>
      <c r="O1" s="43"/>
      <c r="P1" s="43"/>
      <c r="Q1" s="43"/>
    </row>
    <row r="2" spans="1:17" ht="24.6" x14ac:dyDescent="0.4">
      <c r="A2" s="43"/>
      <c r="B2" s="44" t="s">
        <v>156</v>
      </c>
      <c r="C2" s="44"/>
      <c r="D2" s="44"/>
      <c r="E2" s="44"/>
      <c r="F2" s="44"/>
      <c r="G2" s="44"/>
      <c r="H2" s="44"/>
      <c r="I2" s="45"/>
      <c r="J2" s="46"/>
      <c r="K2" s="47"/>
      <c r="L2" s="48"/>
      <c r="M2" s="49"/>
      <c r="N2" s="45"/>
      <c r="O2" s="45"/>
      <c r="P2" s="45"/>
      <c r="Q2" s="43"/>
    </row>
    <row r="3" spans="1:17" ht="15.6" x14ac:dyDescent="0.3">
      <c r="A3" s="43"/>
      <c r="B3" s="28"/>
      <c r="C3" s="43"/>
      <c r="D3" s="43"/>
      <c r="E3" s="43"/>
      <c r="F3" s="43"/>
      <c r="G3" s="43"/>
      <c r="H3" s="43"/>
      <c r="I3" s="43"/>
      <c r="J3" s="43"/>
      <c r="K3" s="43"/>
      <c r="L3" s="43"/>
      <c r="M3" s="43"/>
      <c r="N3" s="43"/>
      <c r="O3" s="43"/>
      <c r="P3" s="43"/>
      <c r="Q3" s="43"/>
    </row>
    <row r="4" spans="1:17" ht="15.6" x14ac:dyDescent="0.3">
      <c r="A4" s="43"/>
      <c r="B4" s="28"/>
      <c r="C4" s="43"/>
      <c r="D4" s="43"/>
      <c r="E4" s="43"/>
      <c r="F4" s="43"/>
      <c r="G4" s="43"/>
      <c r="H4" s="43"/>
      <c r="I4" s="43"/>
      <c r="J4" s="43"/>
      <c r="K4" s="43"/>
      <c r="L4" s="43"/>
      <c r="M4" s="43"/>
      <c r="N4" s="43"/>
      <c r="O4" s="43"/>
      <c r="P4" s="43"/>
      <c r="Q4" s="43"/>
    </row>
    <row r="5" spans="1:17" x14ac:dyDescent="0.25">
      <c r="A5" s="43"/>
      <c r="B5" s="43"/>
      <c r="C5" s="43"/>
      <c r="D5" s="43"/>
      <c r="E5" s="43"/>
      <c r="F5" s="43"/>
      <c r="G5" s="43"/>
      <c r="H5" s="43"/>
      <c r="I5" s="43"/>
      <c r="J5" s="43"/>
      <c r="K5" s="43"/>
      <c r="L5" s="43"/>
      <c r="M5" s="43"/>
      <c r="N5" s="43"/>
      <c r="O5" s="43"/>
      <c r="P5" s="43"/>
      <c r="Q5" s="43"/>
    </row>
    <row r="9" spans="1:17" s="10" customFormat="1" ht="24.6" x14ac:dyDescent="0.4">
      <c r="B9" s="50" t="s">
        <v>157</v>
      </c>
      <c r="C9" s="50"/>
      <c r="D9" s="50"/>
      <c r="E9" s="50"/>
      <c r="F9" s="50"/>
      <c r="G9" s="50"/>
      <c r="H9" s="50"/>
      <c r="I9" s="51"/>
      <c r="J9" s="52"/>
      <c r="K9" s="53"/>
      <c r="L9" s="54"/>
      <c r="M9" s="55"/>
      <c r="N9" s="51"/>
      <c r="O9" s="51"/>
      <c r="P9" s="51"/>
    </row>
    <row r="10" spans="1:17" x14ac:dyDescent="0.25">
      <c r="B10" s="37" t="s">
        <v>158</v>
      </c>
      <c r="C10" s="37"/>
      <c r="D10" s="37"/>
      <c r="E10" s="37"/>
      <c r="F10" s="37"/>
      <c r="G10" s="37"/>
      <c r="H10" s="37"/>
      <c r="I10" s="37"/>
      <c r="J10" s="37"/>
      <c r="K10" s="37"/>
      <c r="L10" s="37"/>
      <c r="M10" s="37"/>
      <c r="N10" s="37"/>
      <c r="O10" s="37"/>
      <c r="P10" s="37"/>
    </row>
    <row r="11" spans="1:17" x14ac:dyDescent="0.25">
      <c r="B11" s="56">
        <f ca="1">TODAY()</f>
        <v>46134</v>
      </c>
      <c r="C11" s="37"/>
      <c r="D11" s="37"/>
      <c r="E11" s="37"/>
      <c r="F11" s="37"/>
      <c r="G11" s="37"/>
      <c r="H11" s="37"/>
      <c r="I11" s="37"/>
      <c r="J11" s="37"/>
      <c r="K11" s="37"/>
      <c r="L11" s="37"/>
      <c r="M11" s="37"/>
      <c r="N11" s="37"/>
      <c r="O11" s="37"/>
      <c r="P11" s="37"/>
    </row>
    <row r="41" spans="2:16" x14ac:dyDescent="0.25">
      <c r="B41" s="57"/>
      <c r="C41" s="37"/>
      <c r="D41" s="37"/>
      <c r="E41" s="37"/>
      <c r="F41" s="37"/>
      <c r="G41" s="37"/>
      <c r="H41" s="37"/>
      <c r="I41" s="37"/>
      <c r="J41" s="37"/>
      <c r="K41" s="37"/>
      <c r="L41" s="37"/>
      <c r="M41" s="37"/>
      <c r="N41" s="37"/>
      <c r="O41" s="37"/>
      <c r="P41" s="37"/>
    </row>
    <row r="42" spans="2:16" x14ac:dyDescent="0.25">
      <c r="B42" s="58"/>
      <c r="C42" s="37"/>
      <c r="D42" s="37"/>
      <c r="E42" s="37"/>
      <c r="F42" s="37"/>
      <c r="G42" s="37"/>
      <c r="H42" s="37"/>
      <c r="I42" s="37"/>
      <c r="J42" s="37"/>
      <c r="K42" s="37"/>
      <c r="L42" s="37"/>
      <c r="M42" s="37"/>
      <c r="N42" s="37"/>
      <c r="O42" s="37"/>
      <c r="P42" s="37"/>
    </row>
    <row r="43" spans="2:16" x14ac:dyDescent="0.25">
      <c r="B43" s="37" t="s">
        <v>159</v>
      </c>
      <c r="C43" s="37"/>
      <c r="D43" s="37"/>
      <c r="E43" s="37"/>
      <c r="F43" s="37"/>
      <c r="G43" s="37"/>
      <c r="H43" s="37"/>
      <c r="I43" s="37"/>
      <c r="J43" s="37"/>
      <c r="K43" s="37"/>
      <c r="L43" s="37"/>
      <c r="M43" s="37"/>
      <c r="N43" s="37"/>
      <c r="O43" s="37"/>
      <c r="P43" s="37"/>
    </row>
  </sheetData>
  <printOptions horizontalCentered="1"/>
  <pageMargins left="0.19685039370078741" right="0.19685039370078741" top="0.19685039370078741" bottom="0.19685039370078741" header="0" footer="0"/>
  <pageSetup scale="51"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DE3150-175F-49AD-8680-3EC80608D785}">
  <sheetPr>
    <pageSetUpPr fitToPage="1"/>
  </sheetPr>
  <dimension ref="A1:Q21"/>
  <sheetViews>
    <sheetView showGridLines="0" view="pageBreakPreview" zoomScale="80" zoomScaleNormal="100" zoomScaleSheetLayoutView="80" workbookViewId="0">
      <pane ySplit="5" topLeftCell="A6" activePane="bottomLeft" state="frozen"/>
      <selection pane="bottomLeft" activeCell="F8" sqref="F8"/>
    </sheetView>
  </sheetViews>
  <sheetFormatPr defaultColWidth="9.109375" defaultRowHeight="15" x14ac:dyDescent="0.25"/>
  <cols>
    <col min="1" max="1" width="2.6640625" style="1" customWidth="1"/>
    <col min="2" max="16" width="12.6640625" style="1" customWidth="1"/>
    <col min="17" max="17" width="2.6640625" style="1" customWidth="1"/>
    <col min="18" max="16384" width="9.109375" style="1"/>
  </cols>
  <sheetData>
    <row r="1" spans="1:17" x14ac:dyDescent="0.25">
      <c r="A1" s="43"/>
      <c r="B1" s="43"/>
      <c r="C1" s="43"/>
      <c r="D1" s="43"/>
      <c r="E1" s="43"/>
      <c r="F1" s="43"/>
      <c r="G1" s="43"/>
      <c r="H1" s="43"/>
      <c r="I1" s="43"/>
      <c r="J1" s="43"/>
      <c r="K1" s="43"/>
      <c r="L1" s="43"/>
      <c r="M1" s="43"/>
      <c r="N1" s="43"/>
      <c r="O1" s="43"/>
      <c r="P1" s="43"/>
      <c r="Q1" s="43"/>
    </row>
    <row r="2" spans="1:17" ht="24.6" x14ac:dyDescent="0.4">
      <c r="A2" s="43"/>
      <c r="B2" s="59" t="s">
        <v>160</v>
      </c>
      <c r="C2" s="59"/>
      <c r="D2" s="59"/>
      <c r="E2" s="59"/>
      <c r="F2" s="59"/>
      <c r="G2" s="59"/>
      <c r="H2" s="59"/>
      <c r="I2" s="43"/>
      <c r="J2" s="60"/>
      <c r="K2" s="61"/>
      <c r="L2" s="62"/>
      <c r="M2" s="63"/>
      <c r="N2" s="43"/>
      <c r="O2" s="43"/>
      <c r="P2" s="43"/>
      <c r="Q2" s="43"/>
    </row>
    <row r="3" spans="1:17" ht="15.6" x14ac:dyDescent="0.3">
      <c r="A3" s="43"/>
      <c r="B3" s="28" t="str">
        <f ca="1">"Investment Presentation | "&amp;TEXT(TODAY(),"mmmm d, yyyy")</f>
        <v>Investment Presentation | April 22, 2026</v>
      </c>
      <c r="C3" s="43"/>
      <c r="D3" s="43"/>
      <c r="E3" s="43"/>
      <c r="F3" s="43"/>
      <c r="G3" s="43"/>
      <c r="H3" s="43"/>
      <c r="I3" s="43"/>
      <c r="J3" s="43"/>
      <c r="K3" s="43"/>
      <c r="L3" s="43"/>
      <c r="M3" s="43"/>
      <c r="N3" s="43"/>
      <c r="O3" s="43"/>
      <c r="P3" s="43"/>
      <c r="Q3" s="43"/>
    </row>
    <row r="4" spans="1:17" ht="15.6" x14ac:dyDescent="0.3">
      <c r="A4" s="43"/>
      <c r="B4" s="28"/>
      <c r="C4" s="43"/>
      <c r="D4" s="43"/>
      <c r="E4" s="43"/>
      <c r="F4" s="43"/>
      <c r="G4" s="43"/>
      <c r="H4" s="43"/>
      <c r="I4" s="43"/>
      <c r="J4" s="43"/>
      <c r="K4" s="43"/>
      <c r="L4" s="43"/>
      <c r="M4" s="43"/>
      <c r="N4" s="43"/>
      <c r="O4" s="43"/>
      <c r="P4" s="43"/>
      <c r="Q4" s="43"/>
    </row>
    <row r="5" spans="1:17" x14ac:dyDescent="0.25">
      <c r="A5" s="43"/>
      <c r="B5" s="43"/>
      <c r="C5" s="43"/>
      <c r="D5" s="43"/>
      <c r="E5" s="43"/>
      <c r="F5" s="43"/>
      <c r="G5" s="43"/>
      <c r="H5" s="43"/>
      <c r="I5" s="43"/>
      <c r="J5" s="43"/>
      <c r="K5" s="43"/>
      <c r="L5" s="43"/>
      <c r="M5" s="43"/>
      <c r="N5" s="43"/>
      <c r="O5" s="43"/>
      <c r="P5" s="43"/>
      <c r="Q5" s="43"/>
    </row>
    <row r="7" spans="1:17" ht="15.6" x14ac:dyDescent="0.3">
      <c r="B7" s="28" t="s">
        <v>161</v>
      </c>
      <c r="C7" s="28"/>
      <c r="D7" s="28"/>
      <c r="E7" s="28"/>
      <c r="F7" s="28"/>
      <c r="G7" s="28"/>
      <c r="H7" s="28"/>
      <c r="I7" s="28"/>
      <c r="J7" s="28"/>
      <c r="K7" s="28"/>
      <c r="L7" s="28"/>
      <c r="M7" s="28"/>
      <c r="N7" s="28"/>
      <c r="O7" s="28"/>
      <c r="P7" s="28"/>
    </row>
    <row r="9" spans="1:17" x14ac:dyDescent="0.25">
      <c r="B9" s="1" t="s">
        <v>162</v>
      </c>
    </row>
    <row r="10" spans="1:17" x14ac:dyDescent="0.25">
      <c r="B10" s="1" t="s">
        <v>163</v>
      </c>
    </row>
    <row r="11" spans="1:17" x14ac:dyDescent="0.25">
      <c r="B11" s="1" t="s">
        <v>164</v>
      </c>
    </row>
    <row r="13" spans="1:17" ht="15.6" x14ac:dyDescent="0.3">
      <c r="B13" s="28" t="s">
        <v>165</v>
      </c>
      <c r="C13" s="28"/>
      <c r="D13" s="28"/>
      <c r="E13" s="28"/>
      <c r="F13" s="28"/>
      <c r="G13" s="28"/>
      <c r="H13" s="28"/>
      <c r="I13" s="28"/>
      <c r="J13" s="28"/>
      <c r="K13" s="28"/>
      <c r="L13" s="28"/>
      <c r="M13" s="28"/>
      <c r="N13" s="28"/>
      <c r="O13" s="28"/>
      <c r="P13" s="28"/>
    </row>
    <row r="15" spans="1:17" x14ac:dyDescent="0.25">
      <c r="B15" s="1" t="s">
        <v>166</v>
      </c>
    </row>
    <row r="16" spans="1:17" x14ac:dyDescent="0.25">
      <c r="B16" s="1" t="s">
        <v>167</v>
      </c>
    </row>
    <row r="17" spans="2:16" x14ac:dyDescent="0.25">
      <c r="B17" s="1" t="s">
        <v>168</v>
      </c>
    </row>
    <row r="19" spans="2:16" ht="15.6" x14ac:dyDescent="0.3">
      <c r="B19" s="28" t="s">
        <v>169</v>
      </c>
      <c r="C19" s="28"/>
      <c r="D19" s="28"/>
      <c r="E19" s="28"/>
      <c r="F19" s="28"/>
      <c r="G19" s="28"/>
      <c r="H19" s="28"/>
      <c r="I19" s="28"/>
      <c r="J19" s="28"/>
      <c r="K19" s="28"/>
      <c r="L19" s="28"/>
      <c r="M19" s="28"/>
      <c r="N19" s="28"/>
      <c r="O19" s="28"/>
      <c r="P19" s="28"/>
    </row>
    <row r="21" spans="2:16" x14ac:dyDescent="0.25">
      <c r="B21" s="1" t="s">
        <v>170</v>
      </c>
    </row>
  </sheetData>
  <printOptions horizontalCentered="1"/>
  <pageMargins left="0.19685039370078741" right="0.19685039370078741" top="0.19685039370078741" bottom="0.19685039370078741" header="0" footer="0"/>
  <pageSetup scale="51"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B2:I21"/>
  <sheetViews>
    <sheetView showGridLines="0" zoomScale="80" zoomScaleNormal="80" zoomScaleSheetLayoutView="66" workbookViewId="0">
      <selection activeCell="F24" sqref="F24"/>
    </sheetView>
  </sheetViews>
  <sheetFormatPr defaultColWidth="9.109375" defaultRowHeight="15" x14ac:dyDescent="0.25"/>
  <cols>
    <col min="1" max="1" width="2.6640625" style="1" customWidth="1"/>
    <col min="2" max="3" width="50.6640625" style="1" customWidth="1"/>
    <col min="4" max="4" width="11.109375" style="2" customWidth="1"/>
    <col min="5" max="5" width="31" style="2" customWidth="1"/>
    <col min="6" max="6" width="20.88671875" style="2" customWidth="1"/>
    <col min="7" max="7" width="18" style="1" customWidth="1"/>
    <col min="8" max="8" width="19.44140625" style="1" customWidth="1"/>
    <col min="9" max="9" width="9.109375" style="1"/>
    <col min="10" max="10" width="28.88671875" style="1" customWidth="1"/>
    <col min="11" max="11" width="10.88671875" style="1" customWidth="1"/>
    <col min="12" max="16384" width="9.109375" style="1"/>
  </cols>
  <sheetData>
    <row r="2" spans="2:9" s="16" customFormat="1" ht="15.6" x14ac:dyDescent="0.3">
      <c r="B2" s="447" t="s">
        <v>171</v>
      </c>
      <c r="C2" s="447" t="s">
        <v>172</v>
      </c>
      <c r="D2" s="446" t="s">
        <v>173</v>
      </c>
      <c r="E2" s="446" t="s">
        <v>174</v>
      </c>
      <c r="F2" s="446" t="s">
        <v>175</v>
      </c>
    </row>
    <row r="3" spans="2:9" s="16" customFormat="1" ht="15.6" x14ac:dyDescent="0.3">
      <c r="B3" s="447"/>
      <c r="C3" s="447"/>
      <c r="D3" s="446"/>
      <c r="E3" s="446"/>
      <c r="F3" s="446"/>
    </row>
    <row r="4" spans="2:9" ht="15" customHeight="1" x14ac:dyDescent="0.25">
      <c r="B4" s="12" t="s">
        <v>176</v>
      </c>
      <c r="C4" s="12" t="s">
        <v>177</v>
      </c>
      <c r="D4" s="17">
        <v>45055</v>
      </c>
      <c r="E4" s="30">
        <v>14</v>
      </c>
      <c r="F4" s="18">
        <f>E4/0.85</f>
        <v>16.47058823529412</v>
      </c>
      <c r="I4" s="1" t="s">
        <v>178</v>
      </c>
    </row>
    <row r="5" spans="2:9" ht="15" customHeight="1" x14ac:dyDescent="0.25">
      <c r="B5" s="10" t="s">
        <v>179</v>
      </c>
      <c r="C5" s="10" t="s">
        <v>180</v>
      </c>
      <c r="D5" s="24">
        <v>43110</v>
      </c>
      <c r="E5" s="31">
        <v>14.6</v>
      </c>
      <c r="F5" s="25">
        <f>14.6/1.15</f>
        <v>12.695652173913045</v>
      </c>
    </row>
    <row r="6" spans="2:9" ht="15" customHeight="1" x14ac:dyDescent="0.25">
      <c r="B6" s="12" t="s">
        <v>181</v>
      </c>
      <c r="C6" s="12" t="s">
        <v>177</v>
      </c>
      <c r="D6" s="17">
        <v>42619</v>
      </c>
      <c r="E6" s="30">
        <v>28</v>
      </c>
      <c r="F6" s="18">
        <f>E6/2.2</f>
        <v>12.727272727272727</v>
      </c>
    </row>
    <row r="7" spans="2:9" ht="15" customHeight="1" x14ac:dyDescent="0.25">
      <c r="B7" s="10" t="s">
        <v>182</v>
      </c>
      <c r="C7" s="10" t="s">
        <v>183</v>
      </c>
      <c r="D7" s="17">
        <v>41813</v>
      </c>
      <c r="E7" s="31">
        <v>9.1</v>
      </c>
      <c r="F7" s="25">
        <f>E7/0.88</f>
        <v>10.34090909090909</v>
      </c>
    </row>
    <row r="8" spans="2:9" ht="15" customHeight="1" x14ac:dyDescent="0.25">
      <c r="B8" s="12"/>
      <c r="C8" s="12"/>
      <c r="D8" s="17"/>
      <c r="E8" s="30"/>
      <c r="F8" s="18"/>
    </row>
    <row r="9" spans="2:9" x14ac:dyDescent="0.25">
      <c r="D9" s="8"/>
      <c r="E9" s="8"/>
      <c r="F9" s="8"/>
    </row>
    <row r="10" spans="2:9" ht="15.6" x14ac:dyDescent="0.3">
      <c r="B10" s="19" t="s">
        <v>184</v>
      </c>
      <c r="C10" s="20"/>
      <c r="D10" s="21"/>
      <c r="E10" s="22"/>
      <c r="F10" s="23">
        <f>AVERAGE(F4:F7)</f>
        <v>13.058605556847244</v>
      </c>
    </row>
    <row r="11" spans="2:9" x14ac:dyDescent="0.25">
      <c r="D11" s="8"/>
      <c r="E11" s="8"/>
      <c r="F11" s="8"/>
    </row>
    <row r="12" spans="2:9" ht="15.6" x14ac:dyDescent="0.3">
      <c r="B12" s="15" t="s">
        <v>185</v>
      </c>
      <c r="C12" s="15"/>
      <c r="D12" s="26"/>
      <c r="E12" s="32">
        <f>'DCF '!R31</f>
        <v>70401898.441950411</v>
      </c>
      <c r="F12" s="27">
        <f>'Peer Comps'!AB8</f>
        <v>14.242202000000001</v>
      </c>
    </row>
    <row r="13" spans="2:9" x14ac:dyDescent="0.25">
      <c r="D13" s="8"/>
      <c r="E13" s="8"/>
      <c r="F13" s="8"/>
    </row>
    <row r="14" spans="2:9" x14ac:dyDescent="0.25">
      <c r="D14" s="8"/>
      <c r="E14" s="8"/>
      <c r="F14" s="8"/>
    </row>
    <row r="15" spans="2:9" x14ac:dyDescent="0.25">
      <c r="D15" s="8"/>
      <c r="E15" s="8"/>
      <c r="F15" s="8"/>
    </row>
    <row r="16" spans="2:9" x14ac:dyDescent="0.25">
      <c r="D16" s="8"/>
      <c r="E16" s="8"/>
      <c r="F16" s="8"/>
    </row>
    <row r="17" spans="4:6" x14ac:dyDescent="0.25">
      <c r="D17" s="8"/>
      <c r="E17" s="8"/>
      <c r="F17" s="8"/>
    </row>
    <row r="18" spans="4:6" x14ac:dyDescent="0.25">
      <c r="D18" s="8"/>
      <c r="E18" s="8"/>
      <c r="F18" s="8"/>
    </row>
    <row r="19" spans="4:6" x14ac:dyDescent="0.25">
      <c r="D19" s="8"/>
      <c r="E19" s="8"/>
      <c r="F19" s="8"/>
    </row>
    <row r="20" spans="4:6" ht="15.6" x14ac:dyDescent="0.3">
      <c r="D20" s="8"/>
      <c r="E20" s="8"/>
      <c r="F20" s="347"/>
    </row>
    <row r="21" spans="4:6" x14ac:dyDescent="0.25">
      <c r="D21" s="8"/>
      <c r="E21" s="8"/>
      <c r="F21" s="8"/>
    </row>
  </sheetData>
  <mergeCells count="5">
    <mergeCell ref="F2:F3"/>
    <mergeCell ref="B2:B3"/>
    <mergeCell ref="C2:C3"/>
    <mergeCell ref="D2:D3"/>
    <mergeCell ref="E2:E3"/>
  </mergeCells>
  <pageMargins left="0.7" right="0.7" top="0.75" bottom="0.75" header="0.3" footer="0.3"/>
  <pageSetup scale="46"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EC680B-C5C1-4E90-BCBA-85D434A0FB89}">
  <dimension ref="B2:X29"/>
  <sheetViews>
    <sheetView workbookViewId="0">
      <selection activeCell="N15" sqref="N15"/>
    </sheetView>
  </sheetViews>
  <sheetFormatPr defaultColWidth="8.88671875" defaultRowHeight="14.4" x14ac:dyDescent="0.3"/>
  <cols>
    <col min="3" max="3" width="28.44140625" bestFit="1" customWidth="1"/>
    <col min="4" max="4" width="10.33203125" bestFit="1" customWidth="1"/>
    <col min="5" max="6" width="9" bestFit="1" customWidth="1"/>
    <col min="7" max="7" width="14.88671875" bestFit="1" customWidth="1"/>
    <col min="8" max="9" width="11" bestFit="1" customWidth="1"/>
    <col min="10" max="13" width="9" bestFit="1" customWidth="1"/>
    <col min="14" max="14" width="10.33203125" bestFit="1" customWidth="1"/>
    <col min="15" max="15" width="9" bestFit="1" customWidth="1"/>
    <col min="16" max="16" width="9.88671875" bestFit="1" customWidth="1"/>
    <col min="17" max="17" width="9" bestFit="1" customWidth="1"/>
    <col min="18" max="18" width="28.44140625" bestFit="1" customWidth="1"/>
    <col min="19" max="19" width="22.33203125" bestFit="1" customWidth="1"/>
    <col min="20" max="20" width="9" bestFit="1" customWidth="1"/>
    <col min="21" max="21" width="31.33203125" bestFit="1" customWidth="1"/>
    <col min="22" max="22" width="27.44140625" bestFit="1" customWidth="1"/>
    <col min="23" max="23" width="22.33203125" bestFit="1" customWidth="1"/>
    <col min="24" max="24" width="25" bestFit="1" customWidth="1"/>
  </cols>
  <sheetData>
    <row r="2" spans="2:24" ht="15.6" x14ac:dyDescent="0.3">
      <c r="B2" s="1"/>
      <c r="C2" s="1"/>
      <c r="D2" s="2"/>
      <c r="E2" s="2"/>
      <c r="F2" s="2"/>
      <c r="G2" s="2"/>
      <c r="H2" s="2"/>
      <c r="I2" s="2"/>
      <c r="J2" s="1"/>
      <c r="K2" s="1"/>
      <c r="L2" s="1"/>
      <c r="M2" s="1"/>
      <c r="Q2" s="1"/>
    </row>
    <row r="3" spans="2:24" ht="15.6" x14ac:dyDescent="0.3">
      <c r="B3" s="1"/>
      <c r="C3" s="448" t="s">
        <v>186</v>
      </c>
      <c r="D3" s="414" t="s">
        <v>187</v>
      </c>
      <c r="E3" s="415"/>
      <c r="F3" s="416"/>
      <c r="G3" s="414" t="s">
        <v>188</v>
      </c>
      <c r="H3" s="415"/>
      <c r="I3" s="416"/>
      <c r="J3" s="414" t="s">
        <v>189</v>
      </c>
      <c r="K3" s="415"/>
      <c r="L3" s="416"/>
      <c r="M3" s="406" t="s">
        <v>190</v>
      </c>
      <c r="N3" s="407"/>
      <c r="O3" s="407"/>
    </row>
    <row r="4" spans="2:24" ht="15.6" x14ac:dyDescent="0.3">
      <c r="B4" s="1"/>
      <c r="C4" s="448"/>
      <c r="D4" s="417" t="s">
        <v>191</v>
      </c>
      <c r="E4" s="7" t="s">
        <v>192</v>
      </c>
      <c r="F4" s="418" t="s">
        <v>193</v>
      </c>
      <c r="G4" s="417" t="s">
        <v>191</v>
      </c>
      <c r="H4" s="7" t="s">
        <v>192</v>
      </c>
      <c r="I4" s="418" t="s">
        <v>193</v>
      </c>
      <c r="J4" s="417" t="s">
        <v>191</v>
      </c>
      <c r="K4" s="7" t="s">
        <v>192</v>
      </c>
      <c r="L4" s="418" t="s">
        <v>193</v>
      </c>
      <c r="M4" s="408" t="s">
        <v>194</v>
      </c>
      <c r="N4" s="407" t="s">
        <v>195</v>
      </c>
      <c r="O4" s="409" t="s">
        <v>196</v>
      </c>
      <c r="R4" s="1"/>
      <c r="S4" s="419"/>
      <c r="U4" s="1"/>
      <c r="V4" s="419"/>
      <c r="W4" s="419"/>
      <c r="X4" s="419"/>
    </row>
    <row r="5" spans="2:24" ht="15.6" x14ac:dyDescent="0.3">
      <c r="B5" s="1"/>
      <c r="C5" s="1" t="s">
        <v>197</v>
      </c>
      <c r="D5" s="9">
        <f>'Peer Comps'!G15</f>
        <v>7.1062180000000001</v>
      </c>
      <c r="E5" s="9">
        <f>'Peer Comps'!E12</f>
        <v>11.24</v>
      </c>
      <c r="F5" s="9">
        <f>'Peer Comps'!E14</f>
        <v>12.61</v>
      </c>
      <c r="G5" s="420">
        <f>D5*'DCF '!C11/1000</f>
        <v>35991.857175120014</v>
      </c>
      <c r="H5" s="420">
        <f>E5*'DCF '!C11/1000</f>
        <v>56928.801600000021</v>
      </c>
      <c r="I5" s="420">
        <f>F5*'DCF '!C11/1000</f>
        <v>63867.632400000024</v>
      </c>
      <c r="J5" s="419">
        <f>G5/'DCF '!R38*1000</f>
        <v>55.144593522389634</v>
      </c>
      <c r="K5" s="419">
        <f>H5/'DCF '!R38*1000</f>
        <v>87.222940696677114</v>
      </c>
      <c r="L5" s="419">
        <f>I5/'DCF '!R38*1000</f>
        <v>97.85420660009774</v>
      </c>
      <c r="M5" s="410">
        <v>55.1</v>
      </c>
      <c r="N5" s="410">
        <v>42.7</v>
      </c>
      <c r="O5" s="410">
        <v>97.9</v>
      </c>
      <c r="R5" s="1"/>
      <c r="S5" s="419"/>
      <c r="U5" s="1"/>
      <c r="V5" s="419"/>
      <c r="W5" s="419"/>
      <c r="X5" s="419"/>
    </row>
    <row r="6" spans="2:24" ht="15.6" x14ac:dyDescent="0.3">
      <c r="B6" s="1"/>
      <c r="C6" s="1" t="s">
        <v>198</v>
      </c>
      <c r="D6" s="9">
        <f>'Peer Comps'!M15</f>
        <v>10.0922625986</v>
      </c>
      <c r="E6" s="9">
        <f>'Peer Comps'!M12</f>
        <v>14.5</v>
      </c>
      <c r="F6" s="9">
        <f>'Peer Comps'!M14</f>
        <v>18.422622332</v>
      </c>
      <c r="G6" s="420">
        <f>D6*Exhibits!AN31/1000</f>
        <v>23211.396595772108</v>
      </c>
      <c r="H6" s="420">
        <f>E6*Exhibits!AN31/1000</f>
        <v>33348.839999999997</v>
      </c>
      <c r="I6" s="420">
        <f>F6*Exhibits!AN31/1000</f>
        <v>42370.557553813444</v>
      </c>
      <c r="J6" s="419">
        <f>G6/'DCF '!R38*1000</f>
        <v>35.563128185717567</v>
      </c>
      <c r="K6" s="419">
        <f>H6/'DCF '!R38*1000</f>
        <v>51.095119023601093</v>
      </c>
      <c r="L6" s="419">
        <f>I6/'DCF '!R38*1000</f>
        <v>64.917660743475295</v>
      </c>
      <c r="R6" s="1"/>
      <c r="S6" s="419"/>
      <c r="U6" s="1"/>
      <c r="V6" s="419"/>
      <c r="W6" s="419"/>
      <c r="X6" s="419"/>
    </row>
    <row r="7" spans="2:24" ht="15.6" x14ac:dyDescent="0.3">
      <c r="B7" s="1"/>
      <c r="C7" s="1" t="s">
        <v>199</v>
      </c>
      <c r="D7" s="9">
        <v>10.3</v>
      </c>
      <c r="E7" s="9">
        <v>12.7</v>
      </c>
      <c r="F7" s="9">
        <v>16.5</v>
      </c>
      <c r="G7" s="420">
        <v>56627.6</v>
      </c>
      <c r="H7" s="420">
        <v>69830</v>
      </c>
      <c r="I7" s="420">
        <v>90733.8</v>
      </c>
      <c r="J7" s="419">
        <v>86.76</v>
      </c>
      <c r="K7" s="419">
        <v>107</v>
      </c>
      <c r="L7" s="419">
        <v>139.02000000000001</v>
      </c>
      <c r="M7" s="410">
        <v>86.8</v>
      </c>
      <c r="N7" s="410">
        <v>52.3</v>
      </c>
      <c r="O7" s="410">
        <v>64.900000000000006</v>
      </c>
      <c r="R7" s="1"/>
      <c r="S7" s="419"/>
      <c r="U7" s="1"/>
      <c r="V7" s="421"/>
      <c r="W7" s="419"/>
      <c r="X7" s="419"/>
    </row>
    <row r="8" spans="2:24" ht="15.6" x14ac:dyDescent="0.3">
      <c r="B8" s="1"/>
      <c r="C8" s="1" t="s">
        <v>200</v>
      </c>
      <c r="D8" s="9" t="s">
        <v>201</v>
      </c>
      <c r="E8" s="9" t="s">
        <v>202</v>
      </c>
      <c r="F8" s="9" t="s">
        <v>203</v>
      </c>
      <c r="G8" s="422">
        <f>3.7*Exhibits!AM6/1000</f>
        <v>43922.7</v>
      </c>
      <c r="H8" s="420">
        <f>4.3*Exhibits!AM6/1000</f>
        <v>51045.3</v>
      </c>
      <c r="I8" s="420">
        <f>6.2*Exhibits!AM6/1000</f>
        <v>73600.2</v>
      </c>
      <c r="J8" s="419">
        <f>(G8*1000)/'DCF '!R38</f>
        <v>67.295761541868444</v>
      </c>
      <c r="K8" s="419">
        <f>(H8*1000)/'DCF '!R38</f>
        <v>78.208587737847111</v>
      </c>
      <c r="L8" s="419">
        <f>(I8*1000)/'DCF '!R38</f>
        <v>112.76587069177955</v>
      </c>
      <c r="M8" s="410">
        <v>67.3</v>
      </c>
      <c r="N8" s="410">
        <v>45.5</v>
      </c>
      <c r="O8" s="410">
        <v>68.400000000000006</v>
      </c>
      <c r="R8" s="1"/>
      <c r="S8" s="419"/>
      <c r="U8" s="1"/>
      <c r="V8" s="421"/>
      <c r="W8" s="419"/>
      <c r="X8" s="419"/>
    </row>
    <row r="9" spans="2:24" ht="15.6" x14ac:dyDescent="0.3">
      <c r="B9" s="1"/>
      <c r="C9" s="1" t="s">
        <v>204</v>
      </c>
      <c r="D9" s="9"/>
      <c r="E9" s="9"/>
      <c r="F9" s="9"/>
      <c r="G9" s="420">
        <v>26629.4</v>
      </c>
      <c r="H9" s="420">
        <v>62331.1</v>
      </c>
      <c r="I9" s="420">
        <v>98359.1</v>
      </c>
      <c r="J9" s="421">
        <v>40.799999999999997</v>
      </c>
      <c r="K9" s="419">
        <v>95.5</v>
      </c>
      <c r="L9" s="419">
        <v>150.69999999999999</v>
      </c>
      <c r="M9" s="410">
        <v>40.799999999999997</v>
      </c>
      <c r="N9" s="410">
        <v>109.9</v>
      </c>
      <c r="O9" s="410">
        <v>68.400000000000006</v>
      </c>
    </row>
    <row r="10" spans="2:24" ht="15.6" x14ac:dyDescent="0.3">
      <c r="B10" s="1"/>
      <c r="C10" s="29" t="s">
        <v>205</v>
      </c>
      <c r="D10" s="423">
        <f>AVERAGE(D5:D7)</f>
        <v>9.1661601995333335</v>
      </c>
      <c r="E10" s="423">
        <f>AVERAGE(E5:E7)</f>
        <v>12.813333333333333</v>
      </c>
      <c r="F10" s="423">
        <f>AVERAGE(F5:F7)</f>
        <v>15.844207444</v>
      </c>
      <c r="G10" s="424">
        <f t="shared" ref="G10:L10" si="0">AVERAGE(G5:G9)</f>
        <v>37276.590754178425</v>
      </c>
      <c r="H10" s="424">
        <f t="shared" si="0"/>
        <v>54696.808319999996</v>
      </c>
      <c r="I10" s="424">
        <f t="shared" si="0"/>
        <v>73786.257990762708</v>
      </c>
      <c r="J10" s="425">
        <f t="shared" si="0"/>
        <v>57.112696649995129</v>
      </c>
      <c r="K10" s="425">
        <f t="shared" si="0"/>
        <v>83.805329491625059</v>
      </c>
      <c r="L10" s="426">
        <f t="shared" si="0"/>
        <v>113.0515476070705</v>
      </c>
      <c r="M10" s="424"/>
      <c r="N10" s="424"/>
      <c r="O10" s="424"/>
      <c r="P10" s="424"/>
      <c r="Q10" s="1"/>
    </row>
    <row r="11" spans="2:24" ht="15.6" x14ac:dyDescent="0.3">
      <c r="B11" s="1"/>
      <c r="C11" s="1"/>
      <c r="D11" s="427"/>
      <c r="E11" s="9"/>
      <c r="F11" s="427"/>
      <c r="G11" s="2"/>
      <c r="H11" s="2"/>
      <c r="I11" s="2"/>
      <c r="J11" s="1"/>
      <c r="K11" s="1"/>
      <c r="L11" s="1"/>
      <c r="M11" s="1"/>
      <c r="Q11" s="1"/>
    </row>
    <row r="12" spans="2:24" ht="15.6" x14ac:dyDescent="0.3">
      <c r="B12" s="1"/>
      <c r="C12" s="1"/>
      <c r="D12" s="2"/>
      <c r="E12" s="2"/>
      <c r="F12" s="2"/>
      <c r="G12" s="2"/>
      <c r="H12" s="2"/>
      <c r="I12" s="398"/>
      <c r="J12" s="1"/>
      <c r="K12" s="1"/>
      <c r="L12" s="1"/>
      <c r="M12" s="1"/>
      <c r="Q12" s="1"/>
      <c r="U12" s="1"/>
      <c r="V12" s="419"/>
      <c r="W12" s="428"/>
      <c r="X12" s="419"/>
    </row>
    <row r="13" spans="2:24" ht="15.6" x14ac:dyDescent="0.3">
      <c r="B13" s="1"/>
      <c r="C13" s="1"/>
      <c r="D13" s="2"/>
      <c r="E13" s="2"/>
      <c r="F13" s="2"/>
      <c r="G13" s="2"/>
      <c r="H13" s="2"/>
      <c r="I13" s="2"/>
      <c r="J13" s="1"/>
      <c r="K13" s="1"/>
      <c r="L13" s="1"/>
      <c r="M13" s="1"/>
      <c r="Q13" s="1"/>
      <c r="U13" s="1"/>
      <c r="V13" s="419"/>
      <c r="W13" s="428"/>
      <c r="X13" s="428"/>
    </row>
    <row r="14" spans="2:24" ht="15.6" x14ac:dyDescent="0.3">
      <c r="B14" s="1"/>
      <c r="C14" s="1"/>
      <c r="D14" s="2"/>
      <c r="E14" s="2"/>
      <c r="F14" s="2"/>
      <c r="G14" s="2"/>
      <c r="H14" s="2"/>
      <c r="I14" s="2"/>
      <c r="J14" s="1"/>
      <c r="K14" s="1"/>
      <c r="L14" s="1"/>
      <c r="M14" s="1"/>
      <c r="Q14" s="1"/>
      <c r="U14" s="1"/>
      <c r="V14" s="419"/>
      <c r="W14" s="428"/>
      <c r="X14" s="419"/>
    </row>
    <row r="15" spans="2:24" ht="15.6" x14ac:dyDescent="0.3">
      <c r="B15" s="1"/>
      <c r="C15" s="1"/>
      <c r="D15" s="2"/>
      <c r="E15" s="2"/>
      <c r="F15" s="2"/>
      <c r="G15" s="2"/>
      <c r="H15" s="2"/>
      <c r="I15" s="2"/>
      <c r="J15" s="1"/>
      <c r="K15" s="1"/>
      <c r="L15" s="1"/>
      <c r="M15" s="1"/>
      <c r="Q15" s="1"/>
      <c r="U15" s="1"/>
      <c r="V15" s="421"/>
      <c r="W15" s="428"/>
      <c r="X15" s="428"/>
    </row>
    <row r="16" spans="2:24" ht="15.6" x14ac:dyDescent="0.3">
      <c r="B16" s="1"/>
      <c r="C16" s="1"/>
      <c r="D16" s="2"/>
      <c r="E16" s="2"/>
      <c r="F16" s="2"/>
      <c r="G16" s="2"/>
      <c r="H16" s="2"/>
      <c r="I16" s="2"/>
      <c r="J16" s="1"/>
      <c r="K16" s="1"/>
      <c r="L16" s="1"/>
      <c r="M16" s="1"/>
      <c r="Q16" s="1"/>
    </row>
    <row r="17" spans="2:17" ht="15.6" x14ac:dyDescent="0.3">
      <c r="B17" s="1"/>
      <c r="C17" s="1"/>
      <c r="D17" s="2"/>
      <c r="E17" s="2"/>
      <c r="F17" s="2"/>
      <c r="G17" s="2"/>
      <c r="H17" s="2"/>
      <c r="I17" s="2"/>
      <c r="J17" s="1"/>
      <c r="K17" s="1"/>
      <c r="L17" s="1"/>
      <c r="M17" s="1"/>
      <c r="Q17" s="1"/>
    </row>
    <row r="18" spans="2:17" ht="15.6" x14ac:dyDescent="0.3">
      <c r="B18" s="1"/>
      <c r="C18" s="1"/>
      <c r="D18" s="2"/>
      <c r="E18" s="2"/>
      <c r="F18" s="2"/>
      <c r="G18" s="2"/>
      <c r="H18" s="2"/>
      <c r="I18" s="2"/>
      <c r="J18" s="1"/>
      <c r="K18" s="1"/>
      <c r="L18" s="1"/>
      <c r="M18" s="1"/>
      <c r="Q18" s="1"/>
    </row>
    <row r="19" spans="2:17" ht="15.6" x14ac:dyDescent="0.3">
      <c r="B19" s="1"/>
      <c r="C19" s="1"/>
      <c r="D19" s="2"/>
      <c r="E19" s="2"/>
      <c r="F19" s="2"/>
      <c r="G19" s="2"/>
      <c r="H19" s="2"/>
      <c r="I19" s="2"/>
      <c r="J19" s="1"/>
      <c r="K19" s="1"/>
      <c r="L19" s="1"/>
      <c r="M19" s="1"/>
      <c r="Q19" s="1"/>
    </row>
    <row r="20" spans="2:17" ht="15.6" x14ac:dyDescent="0.3">
      <c r="B20" s="1"/>
      <c r="C20" s="1"/>
      <c r="D20" s="2"/>
      <c r="E20" s="2"/>
      <c r="F20" s="2"/>
      <c r="G20" s="2"/>
      <c r="H20" s="2"/>
      <c r="I20" s="2"/>
      <c r="J20" s="1"/>
      <c r="K20" s="1"/>
      <c r="L20" s="1"/>
      <c r="M20" s="1"/>
      <c r="Q20" s="1"/>
    </row>
    <row r="21" spans="2:17" ht="15.6" x14ac:dyDescent="0.3">
      <c r="B21" s="1"/>
      <c r="C21" s="1"/>
      <c r="D21" s="2"/>
      <c r="E21" s="2"/>
      <c r="F21" s="2"/>
      <c r="G21" s="2"/>
      <c r="H21" s="2"/>
      <c r="I21" s="2"/>
      <c r="J21" s="1"/>
      <c r="K21" s="1"/>
      <c r="L21" s="1"/>
      <c r="M21" s="1"/>
      <c r="Q21" s="1"/>
    </row>
    <row r="22" spans="2:17" ht="15.6" x14ac:dyDescent="0.3">
      <c r="B22" s="1"/>
      <c r="C22" s="1"/>
      <c r="D22" s="2"/>
      <c r="E22" s="2"/>
      <c r="F22" s="2"/>
      <c r="G22" s="2"/>
      <c r="H22" s="2"/>
      <c r="I22" s="2"/>
      <c r="J22" s="1"/>
      <c r="K22" s="1"/>
      <c r="L22" s="1"/>
      <c r="M22" s="1"/>
      <c r="Q22" s="1"/>
    </row>
    <row r="23" spans="2:17" ht="15.6" x14ac:dyDescent="0.3">
      <c r="B23" s="1"/>
      <c r="C23" s="1"/>
      <c r="D23" s="2"/>
      <c r="E23" s="2"/>
      <c r="F23" s="2"/>
      <c r="G23" s="2"/>
      <c r="H23" s="2"/>
      <c r="I23" s="2"/>
      <c r="J23" s="1"/>
      <c r="K23" s="1"/>
      <c r="L23" s="1"/>
      <c r="M23" s="1"/>
      <c r="Q23" s="1"/>
    </row>
    <row r="24" spans="2:17" ht="15.6" x14ac:dyDescent="0.3">
      <c r="B24" s="1"/>
      <c r="C24" s="1"/>
      <c r="D24" s="2"/>
      <c r="E24" s="2"/>
      <c r="F24" s="2"/>
      <c r="G24" s="2"/>
      <c r="H24" s="2"/>
      <c r="I24" s="2"/>
      <c r="J24" s="1"/>
      <c r="K24" s="1"/>
      <c r="L24" s="1"/>
      <c r="M24" s="1"/>
      <c r="Q24" s="1"/>
    </row>
    <row r="25" spans="2:17" ht="15.6" x14ac:dyDescent="0.3">
      <c r="B25" s="1"/>
      <c r="C25" s="1"/>
      <c r="D25" s="2"/>
      <c r="E25" s="2"/>
      <c r="F25" s="2"/>
      <c r="G25" s="2"/>
      <c r="H25" s="2"/>
      <c r="I25" s="2"/>
      <c r="J25" s="1"/>
      <c r="K25" s="1"/>
      <c r="L25" s="1"/>
      <c r="M25" s="1"/>
      <c r="Q25" s="1"/>
    </row>
    <row r="26" spans="2:17" ht="15.6" x14ac:dyDescent="0.3">
      <c r="B26" s="1"/>
      <c r="C26" s="1"/>
      <c r="D26" s="2"/>
      <c r="E26" s="2"/>
      <c r="F26" s="2"/>
      <c r="G26" s="2"/>
      <c r="H26" s="2"/>
      <c r="I26" s="2"/>
      <c r="J26" s="1"/>
      <c r="K26" s="1"/>
      <c r="L26" s="1"/>
      <c r="M26" s="1"/>
      <c r="Q26" s="1"/>
    </row>
    <row r="29" spans="2:17" x14ac:dyDescent="0.3">
      <c r="D29" s="399"/>
    </row>
  </sheetData>
  <mergeCells count="1">
    <mergeCell ref="C3:C4"/>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449E6C-E5FF-4DFD-B953-859C60993783}">
  <dimension ref="B2:AP33"/>
  <sheetViews>
    <sheetView tabSelected="1" zoomScale="80" workbookViewId="0">
      <selection activeCell="R19" sqref="R19"/>
    </sheetView>
  </sheetViews>
  <sheetFormatPr defaultColWidth="11.44140625" defaultRowHeight="14.4" x14ac:dyDescent="0.3"/>
  <cols>
    <col min="2" max="2" width="35.44140625" customWidth="1"/>
    <col min="3" max="3" width="15.44140625" customWidth="1"/>
    <col min="4" max="4" width="19.44140625" bestFit="1" customWidth="1"/>
    <col min="5" max="5" width="18.109375" bestFit="1" customWidth="1"/>
    <col min="6" max="7" width="9.109375" bestFit="1" customWidth="1"/>
    <col min="8" max="8" width="11.44140625" bestFit="1" customWidth="1"/>
    <col min="9" max="9" width="10" bestFit="1" customWidth="1"/>
    <col min="10" max="14" width="9.109375" bestFit="1" customWidth="1"/>
    <col min="15" max="15" width="17" bestFit="1" customWidth="1"/>
    <col min="16" max="16" width="21.33203125" bestFit="1" customWidth="1"/>
    <col min="23" max="23" width="22.88671875" bestFit="1" customWidth="1"/>
    <col min="24" max="25" width="15.6640625" bestFit="1" customWidth="1"/>
    <col min="32" max="32" width="7.88671875" bestFit="1" customWidth="1"/>
    <col min="33" max="35" width="7.44140625" bestFit="1" customWidth="1"/>
    <col min="36" max="36" width="15.33203125" bestFit="1" customWidth="1"/>
    <col min="37" max="37" width="20" bestFit="1" customWidth="1"/>
  </cols>
  <sheetData>
    <row r="2" spans="2:42" ht="31.2" x14ac:dyDescent="0.3">
      <c r="B2" s="447" t="s">
        <v>206</v>
      </c>
      <c r="C2" s="449" t="s">
        <v>207</v>
      </c>
      <c r="D2" s="450" t="s">
        <v>208</v>
      </c>
      <c r="E2" s="3" t="s">
        <v>175</v>
      </c>
      <c r="F2" s="4"/>
      <c r="G2" s="4"/>
      <c r="H2" s="220"/>
      <c r="I2" s="221" t="s">
        <v>209</v>
      </c>
      <c r="J2" s="222"/>
      <c r="K2" s="13" t="s">
        <v>210</v>
      </c>
      <c r="L2" s="223"/>
      <c r="M2" s="223" t="s">
        <v>211</v>
      </c>
      <c r="N2" s="224"/>
      <c r="O2" s="223" t="s">
        <v>212</v>
      </c>
      <c r="P2" s="223" t="s">
        <v>213</v>
      </c>
      <c r="Q2" s="310" t="s">
        <v>214</v>
      </c>
      <c r="R2" s="304"/>
      <c r="W2" s="447" t="s">
        <v>206</v>
      </c>
      <c r="X2" s="449" t="s">
        <v>207</v>
      </c>
      <c r="Y2" s="450" t="s">
        <v>208</v>
      </c>
      <c r="Z2" s="3" t="s">
        <v>175</v>
      </c>
      <c r="AA2" s="4"/>
      <c r="AB2" s="4"/>
      <c r="AC2" s="220"/>
      <c r="AD2" s="221" t="s">
        <v>209</v>
      </c>
      <c r="AE2" s="222"/>
      <c r="AF2" s="13" t="s">
        <v>210</v>
      </c>
      <c r="AG2" s="223"/>
      <c r="AH2" s="223" t="s">
        <v>211</v>
      </c>
      <c r="AI2" s="224"/>
      <c r="AJ2" s="223" t="s">
        <v>212</v>
      </c>
      <c r="AK2" s="223" t="s">
        <v>213</v>
      </c>
      <c r="AL2" s="310" t="s">
        <v>214</v>
      </c>
    </row>
    <row r="3" spans="2:42" ht="15.6" x14ac:dyDescent="0.3">
      <c r="B3" s="447"/>
      <c r="C3" s="449"/>
      <c r="D3" s="450"/>
      <c r="E3" s="5" t="s">
        <v>215</v>
      </c>
      <c r="F3" s="6" t="s">
        <v>216</v>
      </c>
      <c r="G3" s="6" t="s">
        <v>217</v>
      </c>
      <c r="H3" s="220" t="s">
        <v>215</v>
      </c>
      <c r="I3" s="225" t="s">
        <v>216</v>
      </c>
      <c r="J3" s="226" t="s">
        <v>217</v>
      </c>
      <c r="K3" s="227" t="s">
        <v>217</v>
      </c>
      <c r="L3" s="228" t="s">
        <v>215</v>
      </c>
      <c r="M3" s="228" t="s">
        <v>216</v>
      </c>
      <c r="N3" s="228" t="s">
        <v>217</v>
      </c>
      <c r="O3" s="228"/>
      <c r="P3" s="224"/>
      <c r="Q3" s="224"/>
      <c r="R3" s="304"/>
      <c r="W3" s="447"/>
      <c r="X3" s="449"/>
      <c r="Y3" s="450"/>
      <c r="Z3" s="5" t="s">
        <v>215</v>
      </c>
      <c r="AA3" s="6" t="s">
        <v>216</v>
      </c>
      <c r="AB3" s="6" t="s">
        <v>217</v>
      </c>
      <c r="AC3" s="220" t="s">
        <v>215</v>
      </c>
      <c r="AD3" s="225" t="s">
        <v>216</v>
      </c>
      <c r="AE3" s="226" t="s">
        <v>217</v>
      </c>
      <c r="AF3" s="227" t="s">
        <v>217</v>
      </c>
      <c r="AG3" s="228" t="s">
        <v>215</v>
      </c>
      <c r="AH3" s="228" t="s">
        <v>216</v>
      </c>
      <c r="AI3" s="228" t="s">
        <v>217</v>
      </c>
      <c r="AJ3" s="228"/>
      <c r="AK3" s="224"/>
      <c r="AL3" s="224"/>
    </row>
    <row r="4" spans="2:42" ht="15.6" x14ac:dyDescent="0.3">
      <c r="B4" s="229" t="s">
        <v>218</v>
      </c>
      <c r="C4" s="230">
        <v>51806.73</v>
      </c>
      <c r="D4" s="230">
        <v>87614.7</v>
      </c>
      <c r="E4" s="231">
        <v>12.61</v>
      </c>
      <c r="F4" s="231">
        <v>10.92</v>
      </c>
      <c r="G4" s="231">
        <v>14.06</v>
      </c>
      <c r="H4" s="231">
        <v>25.22</v>
      </c>
      <c r="I4" s="232">
        <v>20.95</v>
      </c>
      <c r="J4" s="232">
        <v>30.05</v>
      </c>
      <c r="K4" s="232">
        <v>2.19</v>
      </c>
      <c r="L4" s="305">
        <v>20.2</v>
      </c>
      <c r="M4" s="305">
        <v>18.3</v>
      </c>
      <c r="N4" s="305">
        <v>24.28</v>
      </c>
      <c r="O4" s="305">
        <f>D4/14612</f>
        <v>5.9960785655625513</v>
      </c>
      <c r="P4" s="330">
        <v>2.8500000000000001E-2</v>
      </c>
      <c r="Q4" s="305">
        <v>5.76</v>
      </c>
      <c r="R4" s="304"/>
      <c r="W4" s="229" t="s">
        <v>219</v>
      </c>
      <c r="X4" s="230">
        <v>54985.62</v>
      </c>
      <c r="Y4" s="230">
        <v>109737.60000000001</v>
      </c>
      <c r="Z4" s="231">
        <v>12.95</v>
      </c>
      <c r="AA4" s="231">
        <v>11.91</v>
      </c>
      <c r="AB4" s="231">
        <v>13.4</v>
      </c>
      <c r="AC4" s="231">
        <v>19.73</v>
      </c>
      <c r="AD4" s="232">
        <v>17.93</v>
      </c>
      <c r="AE4" s="232">
        <v>20.329999999999998</v>
      </c>
      <c r="AF4" s="232">
        <v>1.96</v>
      </c>
      <c r="AG4" s="305">
        <v>17.399999999999999</v>
      </c>
      <c r="AH4" s="305">
        <v>16.3</v>
      </c>
      <c r="AI4" s="305">
        <v>18.12</v>
      </c>
      <c r="AJ4" s="305">
        <f>Y4/16506</f>
        <v>6.6483460559796441</v>
      </c>
      <c r="AK4" s="330">
        <v>4.2700000000000002E-2</v>
      </c>
      <c r="AL4" s="305">
        <v>6.06</v>
      </c>
    </row>
    <row r="5" spans="2:42" ht="15.6" x14ac:dyDescent="0.3">
      <c r="B5" s="300" t="s">
        <v>220</v>
      </c>
      <c r="C5" s="301">
        <v>28282.400000000001</v>
      </c>
      <c r="D5" s="301">
        <v>58546.6</v>
      </c>
      <c r="E5" s="302">
        <v>11.24</v>
      </c>
      <c r="F5" s="302">
        <v>10.52</v>
      </c>
      <c r="G5" s="302">
        <v>12.33</v>
      </c>
      <c r="H5" s="302">
        <v>17.11</v>
      </c>
      <c r="I5" s="303">
        <v>15.94</v>
      </c>
      <c r="J5" s="303">
        <v>18.600000000000001</v>
      </c>
      <c r="K5" s="303">
        <v>1.75</v>
      </c>
      <c r="L5" s="308">
        <v>15.4</v>
      </c>
      <c r="M5" s="308">
        <v>14.5</v>
      </c>
      <c r="N5" s="308">
        <v>16.52</v>
      </c>
      <c r="O5" s="308">
        <f>D5/13547</f>
        <v>4.3217391304347821</v>
      </c>
      <c r="P5" s="329">
        <v>4.1799999999999997E-2</v>
      </c>
      <c r="Q5" s="308">
        <v>6.37</v>
      </c>
      <c r="R5" s="304"/>
      <c r="W5" s="233" t="s">
        <v>221</v>
      </c>
      <c r="X5" s="234">
        <v>192934.13</v>
      </c>
      <c r="Y5" s="234">
        <v>299213.09999999998</v>
      </c>
      <c r="Z5" s="9">
        <v>15.83</v>
      </c>
      <c r="AA5" s="9">
        <v>14.58</v>
      </c>
      <c r="AB5" s="9">
        <v>21.44</v>
      </c>
      <c r="AC5" s="9">
        <v>26.46</v>
      </c>
      <c r="AD5" s="235">
        <v>23.51</v>
      </c>
      <c r="AE5" s="235">
        <v>36.93</v>
      </c>
      <c r="AF5" s="235">
        <v>3.53</v>
      </c>
      <c r="AG5" s="306">
        <v>23</v>
      </c>
      <c r="AH5" s="306">
        <v>21.1</v>
      </c>
      <c r="AI5" s="306">
        <v>28.06</v>
      </c>
      <c r="AJ5" s="306">
        <f>Y5/27412</f>
        <v>10.915405661753976</v>
      </c>
      <c r="AK5" s="333">
        <v>2.69E-2</v>
      </c>
      <c r="AL5" s="307">
        <v>6.6779999999999999</v>
      </c>
    </row>
    <row r="6" spans="2:42" ht="15.6" x14ac:dyDescent="0.3">
      <c r="B6" s="229" t="s">
        <v>222</v>
      </c>
      <c r="C6" s="230">
        <v>28432.2</v>
      </c>
      <c r="D6" s="230">
        <v>72000.2</v>
      </c>
      <c r="E6" s="231">
        <v>9.1055723848895997</v>
      </c>
      <c r="F6" s="231">
        <v>8.5000176134038004</v>
      </c>
      <c r="G6" s="231">
        <v>7.1062180000000001</v>
      </c>
      <c r="H6" s="231">
        <v>15.3981313650003</v>
      </c>
      <c r="I6" s="232">
        <v>14.514128100626399</v>
      </c>
      <c r="J6" s="232">
        <v>13.155526999999999</v>
      </c>
      <c r="K6" s="232">
        <v>1.6644516</v>
      </c>
      <c r="L6" s="309">
        <v>12.133941371500001</v>
      </c>
      <c r="M6" s="305">
        <v>11.351904428299999</v>
      </c>
      <c r="N6" s="305">
        <v>6.3962950000000003</v>
      </c>
      <c r="O6" s="305">
        <f>D6/19317</f>
        <v>3.7272971993580781</v>
      </c>
      <c r="P6" s="330">
        <v>4.7500000000000001E-2</v>
      </c>
      <c r="Q6" s="305">
        <v>4.085</v>
      </c>
      <c r="R6" s="304"/>
      <c r="W6" s="229" t="s">
        <v>223</v>
      </c>
      <c r="X6" s="230">
        <v>48238.89</v>
      </c>
      <c r="Y6" s="230">
        <v>77949.3</v>
      </c>
      <c r="Z6" s="231">
        <v>12.07</v>
      </c>
      <c r="AA6" s="231">
        <v>10.61</v>
      </c>
      <c r="AB6" s="231">
        <v>13.78</v>
      </c>
      <c r="AC6" s="231">
        <v>20.43</v>
      </c>
      <c r="AD6" s="232">
        <v>17.48</v>
      </c>
      <c r="AE6" s="232">
        <v>23.84</v>
      </c>
      <c r="AF6" s="232">
        <v>2.85</v>
      </c>
      <c r="AG6" s="305">
        <v>24.2</v>
      </c>
      <c r="AH6" s="305">
        <v>21.6</v>
      </c>
      <c r="AI6" s="305">
        <v>27.24</v>
      </c>
      <c r="AJ6" s="337">
        <v>5.96</v>
      </c>
      <c r="AK6" s="338">
        <v>2.4E-2</v>
      </c>
      <c r="AL6" s="305">
        <v>5.2</v>
      </c>
      <c r="AP6" t="s">
        <v>224</v>
      </c>
    </row>
    <row r="7" spans="2:42" ht="15.6" x14ac:dyDescent="0.3">
      <c r="B7" s="300" t="s">
        <v>225</v>
      </c>
      <c r="C7" s="301">
        <v>102559.23</v>
      </c>
      <c r="D7" s="301">
        <v>195598.2</v>
      </c>
      <c r="E7" s="302">
        <v>11.5750940824098</v>
      </c>
      <c r="F7" s="302">
        <v>10.6634281307477</v>
      </c>
      <c r="G7" s="302">
        <v>11.73897</v>
      </c>
      <c r="H7" s="302">
        <v>20.313712097516099</v>
      </c>
      <c r="I7" s="303">
        <v>18.952640822962699</v>
      </c>
      <c r="J7" s="303">
        <v>22.667041000000001</v>
      </c>
      <c r="K7" s="303">
        <v>2.01700722</v>
      </c>
      <c r="L7" s="308">
        <v>19.6761814959</v>
      </c>
      <c r="M7" s="308">
        <v>18.422622332</v>
      </c>
      <c r="N7" s="308">
        <v>20.886918000000001</v>
      </c>
      <c r="O7" s="308">
        <f>D7/31790</f>
        <v>6.1528216420257946</v>
      </c>
      <c r="P7" s="329">
        <v>3.2300000000000002E-2</v>
      </c>
      <c r="Q7" s="308">
        <v>5.4710000000000001</v>
      </c>
      <c r="R7" s="304"/>
      <c r="AP7" t="s">
        <v>226</v>
      </c>
    </row>
    <row r="8" spans="2:42" ht="15.6" x14ac:dyDescent="0.3">
      <c r="B8" s="326" t="s">
        <v>227</v>
      </c>
      <c r="C8" s="327">
        <v>39959.057403719999</v>
      </c>
      <c r="D8" s="327">
        <v>102412.1</v>
      </c>
      <c r="E8" s="309">
        <v>9.1383585799488003</v>
      </c>
      <c r="F8" s="309">
        <v>8.2992688917254007</v>
      </c>
      <c r="G8" s="309">
        <v>10.198373</v>
      </c>
      <c r="H8" s="309">
        <v>15.5652170538223</v>
      </c>
      <c r="I8" s="309">
        <v>13.836148261208701</v>
      </c>
      <c r="J8" s="309">
        <v>19.160347999999999</v>
      </c>
      <c r="K8" s="309">
        <v>1.2906431899999999</v>
      </c>
      <c r="L8" s="309">
        <v>11.0487836006</v>
      </c>
      <c r="M8" s="309">
        <v>10.0922625986</v>
      </c>
      <c r="N8" s="309">
        <v>15.406779999999999</v>
      </c>
      <c r="O8" s="309">
        <v>4.1100000000000003</v>
      </c>
      <c r="P8" s="328">
        <v>1.0999999999999999E-2</v>
      </c>
      <c r="Q8" s="309">
        <v>6.0369999999999999</v>
      </c>
      <c r="R8" s="304"/>
      <c r="W8" s="229" t="s">
        <v>228</v>
      </c>
      <c r="X8" s="311">
        <v>62316.774114599997</v>
      </c>
      <c r="Y8" s="311">
        <v>108987.77411499999</v>
      </c>
      <c r="Z8" s="312">
        <v>17.2856860243546</v>
      </c>
      <c r="AA8" s="312">
        <v>16.684649672506101</v>
      </c>
      <c r="AB8" s="312">
        <v>14.242202000000001</v>
      </c>
      <c r="AC8" s="312">
        <v>31.15</v>
      </c>
      <c r="AD8" s="313">
        <v>30.4</v>
      </c>
      <c r="AE8" s="313">
        <v>23.72</v>
      </c>
      <c r="AF8" s="313">
        <v>1.97</v>
      </c>
      <c r="AG8" s="314">
        <v>18.7</v>
      </c>
      <c r="AH8" s="314">
        <v>17.3</v>
      </c>
      <c r="AI8" s="314">
        <v>34.69</v>
      </c>
      <c r="AJ8" s="314">
        <v>7.73</v>
      </c>
      <c r="AK8" s="315">
        <v>2.76E-2</v>
      </c>
      <c r="AL8" s="314">
        <v>6.08</v>
      </c>
      <c r="AP8" t="s">
        <v>229</v>
      </c>
    </row>
    <row r="9" spans="2:42" x14ac:dyDescent="0.3">
      <c r="R9" s="304"/>
    </row>
    <row r="10" spans="2:42" ht="15.6" x14ac:dyDescent="0.3">
      <c r="B10" s="229" t="s">
        <v>228</v>
      </c>
      <c r="C10" s="311">
        <v>62316.774114599997</v>
      </c>
      <c r="D10" s="311">
        <v>108987.77411499999</v>
      </c>
      <c r="E10" s="312">
        <v>17.2856860243546</v>
      </c>
      <c r="F10" s="312">
        <v>16.684649672506101</v>
      </c>
      <c r="G10" s="312">
        <v>14.242202000000001</v>
      </c>
      <c r="H10" s="312">
        <v>31.15</v>
      </c>
      <c r="I10" s="313">
        <v>30.4</v>
      </c>
      <c r="J10" s="313">
        <v>23.72</v>
      </c>
      <c r="K10" s="313">
        <v>1.97</v>
      </c>
      <c r="L10" s="314">
        <v>18.7</v>
      </c>
      <c r="M10" s="314">
        <v>17.3</v>
      </c>
      <c r="N10" s="314">
        <v>34.69</v>
      </c>
      <c r="O10" s="314">
        <v>7.73</v>
      </c>
      <c r="P10" s="315">
        <v>2.76E-2</v>
      </c>
      <c r="Q10" s="314">
        <v>6.08</v>
      </c>
      <c r="W10" t="s">
        <v>192</v>
      </c>
      <c r="X10" s="238">
        <f t="shared" ref="X10:AL10" si="0">MEDIAN(X4:X6)</f>
        <v>54985.62</v>
      </c>
      <c r="Y10" s="238">
        <f t="shared" si="0"/>
        <v>109737.60000000001</v>
      </c>
      <c r="Z10" s="236">
        <f t="shared" si="0"/>
        <v>12.95</v>
      </c>
      <c r="AA10" s="236">
        <f t="shared" si="0"/>
        <v>11.91</v>
      </c>
      <c r="AB10" s="236">
        <f t="shared" si="0"/>
        <v>13.78</v>
      </c>
      <c r="AC10" s="236">
        <f t="shared" si="0"/>
        <v>20.43</v>
      </c>
      <c r="AD10" s="236">
        <f t="shared" si="0"/>
        <v>17.93</v>
      </c>
      <c r="AE10" s="236">
        <f t="shared" si="0"/>
        <v>23.84</v>
      </c>
      <c r="AF10" s="236">
        <f t="shared" si="0"/>
        <v>2.85</v>
      </c>
      <c r="AG10" s="236">
        <f t="shared" si="0"/>
        <v>23</v>
      </c>
      <c r="AH10" s="236">
        <f t="shared" si="0"/>
        <v>21.1</v>
      </c>
      <c r="AI10" s="236">
        <f t="shared" si="0"/>
        <v>27.24</v>
      </c>
      <c r="AJ10" s="236">
        <f t="shared" si="0"/>
        <v>6.6483460559796441</v>
      </c>
      <c r="AK10" s="64">
        <f t="shared" si="0"/>
        <v>2.69E-2</v>
      </c>
      <c r="AL10" s="236">
        <f t="shared" si="0"/>
        <v>6.06</v>
      </c>
    </row>
    <row r="11" spans="2:42" x14ac:dyDescent="0.3">
      <c r="W11" t="s">
        <v>224</v>
      </c>
      <c r="X11" s="238">
        <f t="shared" ref="X11:AL11" si="1">AVERAGE(X4:X6)</f>
        <v>98719.546666666676</v>
      </c>
      <c r="Y11" s="238">
        <f t="shared" si="1"/>
        <v>162299.99999999997</v>
      </c>
      <c r="Z11" s="236">
        <f t="shared" si="1"/>
        <v>13.616666666666667</v>
      </c>
      <c r="AA11" s="236">
        <f t="shared" si="1"/>
        <v>12.366666666666667</v>
      </c>
      <c r="AB11" s="236">
        <f t="shared" si="1"/>
        <v>16.206666666666667</v>
      </c>
      <c r="AC11" s="236">
        <f t="shared" si="1"/>
        <v>22.206666666666667</v>
      </c>
      <c r="AD11" s="236">
        <f t="shared" si="1"/>
        <v>19.64</v>
      </c>
      <c r="AE11" s="236">
        <f t="shared" si="1"/>
        <v>27.033333333333331</v>
      </c>
      <c r="AF11" s="236">
        <f t="shared" si="1"/>
        <v>2.78</v>
      </c>
      <c r="AG11" s="236">
        <f t="shared" si="1"/>
        <v>21.533333333333331</v>
      </c>
      <c r="AH11" s="236">
        <f t="shared" si="1"/>
        <v>19.666666666666668</v>
      </c>
      <c r="AI11" s="236">
        <f t="shared" si="1"/>
        <v>24.473333333333333</v>
      </c>
      <c r="AJ11" s="236">
        <f t="shared" si="1"/>
        <v>7.8412505725778736</v>
      </c>
      <c r="AK11" s="64">
        <f t="shared" si="1"/>
        <v>3.1199999999999995E-2</v>
      </c>
      <c r="AL11" s="236">
        <f t="shared" si="1"/>
        <v>5.9793333333333329</v>
      </c>
    </row>
    <row r="12" spans="2:42" x14ac:dyDescent="0.3">
      <c r="B12" t="s">
        <v>192</v>
      </c>
      <c r="C12" s="238">
        <f t="shared" ref="C12:Q12" si="2">MEDIAN(C4:C8)</f>
        <v>39959.057403719999</v>
      </c>
      <c r="D12" s="238">
        <f t="shared" si="2"/>
        <v>87614.7</v>
      </c>
      <c r="E12" s="236">
        <f t="shared" si="2"/>
        <v>11.24</v>
      </c>
      <c r="F12" s="236">
        <f t="shared" si="2"/>
        <v>10.52</v>
      </c>
      <c r="G12" s="236">
        <f t="shared" si="2"/>
        <v>11.73897</v>
      </c>
      <c r="H12" s="236">
        <f t="shared" si="2"/>
        <v>17.11</v>
      </c>
      <c r="I12" s="236">
        <f>MEDIAN(I4:I8)</f>
        <v>15.94</v>
      </c>
      <c r="J12" s="236">
        <f t="shared" si="2"/>
        <v>19.160347999999999</v>
      </c>
      <c r="K12" s="236">
        <f t="shared" si="2"/>
        <v>1.75</v>
      </c>
      <c r="L12" s="236">
        <f t="shared" si="2"/>
        <v>15.4</v>
      </c>
      <c r="M12" s="236">
        <f t="shared" si="2"/>
        <v>14.5</v>
      </c>
      <c r="N12" s="236">
        <f t="shared" si="2"/>
        <v>16.52</v>
      </c>
      <c r="O12" s="236">
        <f t="shared" si="2"/>
        <v>4.3217391304347821</v>
      </c>
      <c r="P12" s="237">
        <f t="shared" si="2"/>
        <v>3.2300000000000002E-2</v>
      </c>
      <c r="Q12" s="236">
        <f t="shared" si="2"/>
        <v>5.76</v>
      </c>
      <c r="W12" t="s">
        <v>226</v>
      </c>
      <c r="X12" s="238">
        <f t="shared" ref="X12:AL12" si="3">MAX(X4:X6)</f>
        <v>192934.13</v>
      </c>
      <c r="Y12" s="238">
        <f t="shared" si="3"/>
        <v>299213.09999999998</v>
      </c>
      <c r="Z12" s="236">
        <f t="shared" si="3"/>
        <v>15.83</v>
      </c>
      <c r="AA12" s="236">
        <f t="shared" si="3"/>
        <v>14.58</v>
      </c>
      <c r="AB12" s="236">
        <f t="shared" si="3"/>
        <v>21.44</v>
      </c>
      <c r="AC12" s="236">
        <f t="shared" si="3"/>
        <v>26.46</v>
      </c>
      <c r="AD12" s="236">
        <f t="shared" si="3"/>
        <v>23.51</v>
      </c>
      <c r="AE12" s="236">
        <f t="shared" si="3"/>
        <v>36.93</v>
      </c>
      <c r="AF12" s="236">
        <f t="shared" si="3"/>
        <v>3.53</v>
      </c>
      <c r="AG12" s="236">
        <f t="shared" si="3"/>
        <v>24.2</v>
      </c>
      <c r="AH12" s="236">
        <f t="shared" si="3"/>
        <v>21.6</v>
      </c>
      <c r="AI12" s="236">
        <f t="shared" si="3"/>
        <v>28.06</v>
      </c>
      <c r="AJ12" s="236">
        <f t="shared" si="3"/>
        <v>10.915405661753976</v>
      </c>
      <c r="AK12" s="64">
        <f t="shared" si="3"/>
        <v>4.2700000000000002E-2</v>
      </c>
      <c r="AL12" s="236">
        <f t="shared" si="3"/>
        <v>6.6779999999999999</v>
      </c>
    </row>
    <row r="13" spans="2:42" x14ac:dyDescent="0.3">
      <c r="B13" t="s">
        <v>224</v>
      </c>
      <c r="C13" s="238">
        <f t="shared" ref="C13:Q13" si="4">AVERAGE(C4:C8)</f>
        <v>50207.923480743993</v>
      </c>
      <c r="D13" s="238">
        <f t="shared" si="4"/>
        <v>103234.36000000002</v>
      </c>
      <c r="E13" s="236">
        <f t="shared" si="4"/>
        <v>10.73380500944964</v>
      </c>
      <c r="F13" s="236">
        <f t="shared" si="4"/>
        <v>9.7805429271753805</v>
      </c>
      <c r="G13" s="236">
        <f t="shared" si="4"/>
        <v>11.086712199999999</v>
      </c>
      <c r="H13" s="236">
        <f t="shared" si="4"/>
        <v>18.721412103267738</v>
      </c>
      <c r="I13" s="236">
        <f t="shared" si="4"/>
        <v>16.83858343695956</v>
      </c>
      <c r="J13" s="236">
        <f t="shared" si="4"/>
        <v>20.7265832</v>
      </c>
      <c r="K13" s="236">
        <f t="shared" si="4"/>
        <v>1.7824204020000001</v>
      </c>
      <c r="L13" s="236">
        <f t="shared" si="4"/>
        <v>15.691781293600002</v>
      </c>
      <c r="M13" s="236">
        <f t="shared" si="4"/>
        <v>14.533357871780002</v>
      </c>
      <c r="N13" s="236">
        <f t="shared" si="4"/>
        <v>16.697998599999998</v>
      </c>
      <c r="O13" s="236">
        <f t="shared" si="4"/>
        <v>4.861587307476241</v>
      </c>
      <c r="P13" s="64">
        <f t="shared" si="4"/>
        <v>3.2220000000000006E-2</v>
      </c>
      <c r="Q13" s="236">
        <f t="shared" si="4"/>
        <v>5.5446</v>
      </c>
      <c r="W13" t="s">
        <v>229</v>
      </c>
      <c r="X13" s="238">
        <f t="shared" ref="X13:AL13" si="5">MIN(X4:X6)</f>
        <v>48238.89</v>
      </c>
      <c r="Y13" s="238">
        <f t="shared" si="5"/>
        <v>77949.3</v>
      </c>
      <c r="Z13" s="236">
        <f t="shared" si="5"/>
        <v>12.07</v>
      </c>
      <c r="AA13" s="236">
        <f t="shared" si="5"/>
        <v>10.61</v>
      </c>
      <c r="AB13" s="236">
        <f t="shared" si="5"/>
        <v>13.4</v>
      </c>
      <c r="AC13" s="236">
        <f t="shared" si="5"/>
        <v>19.73</v>
      </c>
      <c r="AD13" s="236">
        <f t="shared" si="5"/>
        <v>17.48</v>
      </c>
      <c r="AE13" s="236">
        <f t="shared" si="5"/>
        <v>20.329999999999998</v>
      </c>
      <c r="AF13" s="236">
        <f t="shared" si="5"/>
        <v>1.96</v>
      </c>
      <c r="AG13" s="236">
        <f t="shared" si="5"/>
        <v>17.399999999999999</v>
      </c>
      <c r="AH13" s="236">
        <f t="shared" si="5"/>
        <v>16.3</v>
      </c>
      <c r="AI13" s="236">
        <f t="shared" si="5"/>
        <v>18.12</v>
      </c>
      <c r="AJ13" s="236">
        <f t="shared" si="5"/>
        <v>5.96</v>
      </c>
      <c r="AK13" s="64">
        <f t="shared" si="5"/>
        <v>2.4E-2</v>
      </c>
      <c r="AL13" s="236">
        <f t="shared" si="5"/>
        <v>5.2</v>
      </c>
    </row>
    <row r="14" spans="2:42" x14ac:dyDescent="0.3">
      <c r="B14" t="s">
        <v>226</v>
      </c>
      <c r="C14" s="238">
        <f t="shared" ref="C14:O14" si="6">MAX(C4:C8)</f>
        <v>102559.23</v>
      </c>
      <c r="D14" s="238">
        <f t="shared" si="6"/>
        <v>195598.2</v>
      </c>
      <c r="E14" s="236">
        <f t="shared" si="6"/>
        <v>12.61</v>
      </c>
      <c r="F14" s="236">
        <f t="shared" si="6"/>
        <v>10.92</v>
      </c>
      <c r="G14" s="236">
        <f t="shared" si="6"/>
        <v>14.06</v>
      </c>
      <c r="H14" s="236">
        <f t="shared" si="6"/>
        <v>25.22</v>
      </c>
      <c r="I14" s="236">
        <f t="shared" si="6"/>
        <v>20.95</v>
      </c>
      <c r="J14" s="236">
        <f t="shared" si="6"/>
        <v>30.05</v>
      </c>
      <c r="K14" s="236">
        <f t="shared" si="6"/>
        <v>2.19</v>
      </c>
      <c r="L14" s="236">
        <f t="shared" si="6"/>
        <v>20.2</v>
      </c>
      <c r="M14" s="236">
        <f t="shared" si="6"/>
        <v>18.422622332</v>
      </c>
      <c r="N14" s="236">
        <f t="shared" si="6"/>
        <v>24.28</v>
      </c>
      <c r="O14" s="236">
        <f t="shared" si="6"/>
        <v>6.1528216420257946</v>
      </c>
      <c r="P14" s="64">
        <f>MAX(P4:P9)</f>
        <v>4.7500000000000001E-2</v>
      </c>
      <c r="Q14" s="236">
        <f>MAX(Q4:Q8)</f>
        <v>6.37</v>
      </c>
    </row>
    <row r="15" spans="2:42" x14ac:dyDescent="0.3">
      <c r="B15" t="s">
        <v>229</v>
      </c>
      <c r="C15" s="238">
        <f t="shared" ref="C15:Q15" si="7">MIN(C4:C8)</f>
        <v>28282.400000000001</v>
      </c>
      <c r="D15" s="238">
        <f t="shared" si="7"/>
        <v>58546.6</v>
      </c>
      <c r="E15" s="236">
        <f t="shared" si="7"/>
        <v>9.1055723848895997</v>
      </c>
      <c r="F15" s="236">
        <f t="shared" si="7"/>
        <v>8.2992688917254007</v>
      </c>
      <c r="G15" s="236">
        <f t="shared" si="7"/>
        <v>7.1062180000000001</v>
      </c>
      <c r="H15" s="236">
        <f t="shared" si="7"/>
        <v>15.3981313650003</v>
      </c>
      <c r="I15" s="236">
        <f t="shared" si="7"/>
        <v>13.836148261208701</v>
      </c>
      <c r="J15" s="236">
        <f t="shared" si="7"/>
        <v>13.155526999999999</v>
      </c>
      <c r="K15" s="236">
        <f t="shared" si="7"/>
        <v>1.2906431899999999</v>
      </c>
      <c r="L15" s="236">
        <f t="shared" si="7"/>
        <v>11.0487836006</v>
      </c>
      <c r="M15" s="236">
        <f t="shared" si="7"/>
        <v>10.0922625986</v>
      </c>
      <c r="N15" s="236">
        <f t="shared" si="7"/>
        <v>6.3962950000000003</v>
      </c>
      <c r="O15" s="236">
        <f t="shared" si="7"/>
        <v>3.7272971993580781</v>
      </c>
      <c r="P15" s="64">
        <f t="shared" si="7"/>
        <v>1.0999999999999999E-2</v>
      </c>
      <c r="Q15" s="236">
        <f t="shared" si="7"/>
        <v>4.085</v>
      </c>
    </row>
    <row r="26" spans="2:5" ht="15" thickBot="1" x14ac:dyDescent="0.35">
      <c r="B26" s="297"/>
    </row>
    <row r="27" spans="2:5" ht="15.6" x14ac:dyDescent="0.3">
      <c r="B27" s="296" t="s">
        <v>230</v>
      </c>
      <c r="C27" s="289" t="s">
        <v>231</v>
      </c>
      <c r="D27" s="289" t="s">
        <v>232</v>
      </c>
      <c r="E27" s="290" t="s">
        <v>233</v>
      </c>
    </row>
    <row r="28" spans="2:5" ht="15.6" x14ac:dyDescent="0.3">
      <c r="B28" s="298" t="s">
        <v>234</v>
      </c>
      <c r="C28" s="400">
        <f>Exhibits!AM31/1000</f>
        <v>2072</v>
      </c>
      <c r="D28" s="236">
        <f>N13</f>
        <v>16.697998599999998</v>
      </c>
      <c r="E28" s="295">
        <f>C28*D28/1000</f>
        <v>34.598253099199994</v>
      </c>
    </row>
    <row r="29" spans="2:5" ht="15.6" x14ac:dyDescent="0.3">
      <c r="B29" s="298" t="s">
        <v>235</v>
      </c>
      <c r="C29" s="401">
        <f>Exhibits!AM12/1000</f>
        <v>4688.8568088176571</v>
      </c>
      <c r="D29" s="291">
        <f>G13</f>
        <v>11.086712199999999</v>
      </c>
      <c r="E29" s="292">
        <f>C29*11.3/1000</f>
        <v>52.98408193963953</v>
      </c>
    </row>
    <row r="30" spans="2:5" ht="15.6" x14ac:dyDescent="0.3">
      <c r="B30" s="298" t="s">
        <v>236</v>
      </c>
      <c r="C30" s="400">
        <f>Exhibits!AM6/1000</f>
        <v>11871</v>
      </c>
      <c r="D30" s="291">
        <f>O13</f>
        <v>4.861587307476241</v>
      </c>
      <c r="E30" s="292">
        <f>C30*D30/1000</f>
        <v>57.711902927050453</v>
      </c>
    </row>
    <row r="31" spans="2:5" ht="15.6" x14ac:dyDescent="0.3">
      <c r="B31" s="298" t="s">
        <v>237</v>
      </c>
      <c r="C31" s="401">
        <f>Exhibits!AN31/1000</f>
        <v>2299.92</v>
      </c>
      <c r="D31" s="291">
        <f>L13</f>
        <v>15.691781293600002</v>
      </c>
      <c r="E31" s="295">
        <f>C31*D31/1000</f>
        <v>36.089841632776512</v>
      </c>
    </row>
    <row r="32" spans="2:5" ht="15.6" x14ac:dyDescent="0.3">
      <c r="B32" s="299" t="s">
        <v>238</v>
      </c>
      <c r="C32" s="402">
        <f>Exhibits!C15/1000</f>
        <v>5064.8400014985018</v>
      </c>
      <c r="D32" s="291">
        <f>E13</f>
        <v>10.73380500944964</v>
      </c>
      <c r="E32" s="292">
        <f>C32*11.1/1000</f>
        <v>56.219724016633364</v>
      </c>
    </row>
    <row r="33" spans="2:5" ht="16.2" thickBot="1" x14ac:dyDescent="0.35">
      <c r="B33" s="403"/>
      <c r="C33" s="400"/>
      <c r="D33" s="293" t="s">
        <v>239</v>
      </c>
      <c r="E33" s="294" t="s">
        <v>240</v>
      </c>
    </row>
  </sheetData>
  <mergeCells count="6">
    <mergeCell ref="W2:W3"/>
    <mergeCell ref="X2:X3"/>
    <mergeCell ref="Y2:Y3"/>
    <mergeCell ref="B2:B3"/>
    <mergeCell ref="C2:C3"/>
    <mergeCell ref="D2:D3"/>
  </mergeCells>
  <pageMargins left="0.7" right="0.7" top="0.75" bottom="0.75" header="0.3" footer="0.3"/>
  <pageSetup paperSize="9" orientation="portrait" r:id="rId1"/>
  <rowBreaks count="1" manualBreakCount="1">
    <brk id="1" max="16383" man="1"/>
  </rowBreaks>
  <colBreaks count="8" manualBreakCount="8">
    <brk id="2" max="1048575" man="1"/>
    <brk id="3" max="1048575" man="1"/>
    <brk id="7" max="1048575" man="1"/>
    <brk id="10" max="1048575" man="1"/>
    <brk id="11" max="1048575" man="1"/>
    <brk id="14" max="1048575" man="1"/>
    <brk id="15" max="1048575" man="1"/>
    <brk id="16" max="1048575" man="1"/>
  </col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FAD827-5B0A-4534-9084-D552C3717416}">
  <sheetPr>
    <pageSetUpPr fitToPage="1"/>
  </sheetPr>
  <dimension ref="B1:BO77"/>
  <sheetViews>
    <sheetView showGridLines="0" zoomScale="70" zoomScaleNormal="70" zoomScaleSheetLayoutView="89" workbookViewId="0">
      <selection activeCell="F41" sqref="F41"/>
    </sheetView>
  </sheetViews>
  <sheetFormatPr defaultColWidth="9.109375" defaultRowHeight="15" x14ac:dyDescent="0.25"/>
  <cols>
    <col min="1" max="1" width="2.6640625" style="1" customWidth="1"/>
    <col min="2" max="2" width="22.33203125" style="1" bestFit="1" customWidth="1"/>
    <col min="3" max="3" width="26.33203125" style="1" customWidth="1"/>
    <col min="4" max="4" width="21.33203125" style="1" customWidth="1"/>
    <col min="5" max="5" width="22.33203125" style="1" customWidth="1"/>
    <col min="6" max="6" width="21.88671875" style="1" customWidth="1"/>
    <col min="7" max="9" width="22.33203125" style="1" customWidth="1"/>
    <col min="10" max="10" width="27.44140625" style="1" customWidth="1"/>
    <col min="11" max="12" width="22.33203125" style="1" customWidth="1"/>
    <col min="13" max="13" width="20.6640625" style="1" customWidth="1"/>
    <col min="14" max="14" width="12.6640625" style="1" customWidth="1"/>
    <col min="15" max="15" width="44.109375" style="1" customWidth="1"/>
    <col min="16" max="17" width="17.88671875" style="1" customWidth="1"/>
    <col min="18" max="18" width="19.109375" style="1" customWidth="1"/>
    <col min="19" max="19" width="2.6640625" style="1" customWidth="1"/>
    <col min="20" max="20" width="19" style="1" customWidth="1"/>
    <col min="21" max="25" width="11.6640625" style="1" customWidth="1"/>
    <col min="26" max="38" width="9.109375" style="1"/>
    <col min="39" max="39" width="10.88671875" style="1" bestFit="1" customWidth="1"/>
    <col min="40" max="42" width="13" style="1" bestFit="1" customWidth="1"/>
    <col min="43" max="43" width="19.88671875" style="1" customWidth="1"/>
    <col min="44" max="48" width="13" style="1" bestFit="1" customWidth="1"/>
    <col min="49" max="51" width="9.109375" style="1"/>
    <col min="52" max="52" width="24.44140625" style="1" customWidth="1"/>
    <col min="53" max="53" width="12.33203125" style="1" customWidth="1"/>
    <col min="54" max="61" width="9.109375" style="1"/>
    <col min="62" max="62" width="9.6640625" style="1" bestFit="1" customWidth="1"/>
    <col min="63" max="67" width="10.88671875" style="1" bestFit="1" customWidth="1"/>
    <col min="68" max="16384" width="9.109375" style="1"/>
  </cols>
  <sheetData>
    <row r="1" spans="2:21" x14ac:dyDescent="0.25">
      <c r="B1" s="145"/>
      <c r="C1" s="145"/>
      <c r="D1" s="145"/>
      <c r="E1" s="145"/>
      <c r="F1" s="145"/>
      <c r="G1" s="145"/>
      <c r="H1" s="145"/>
      <c r="I1" s="145"/>
      <c r="J1" s="145"/>
      <c r="K1" s="145"/>
      <c r="L1" s="145"/>
      <c r="M1" s="145"/>
      <c r="N1" s="145"/>
      <c r="O1" s="145"/>
      <c r="P1" s="145"/>
      <c r="Q1" s="145"/>
      <c r="R1" s="145"/>
      <c r="S1" s="145"/>
    </row>
    <row r="2" spans="2:21" ht="15.6" x14ac:dyDescent="0.3">
      <c r="B2" s="146" t="s">
        <v>241</v>
      </c>
      <c r="C2" s="147">
        <v>2026</v>
      </c>
      <c r="D2" s="148" t="s">
        <v>216</v>
      </c>
      <c r="E2" s="148" t="s">
        <v>242</v>
      </c>
      <c r="F2" s="148" t="s">
        <v>243</v>
      </c>
      <c r="G2" s="148" t="s">
        <v>244</v>
      </c>
      <c r="H2" s="148" t="s">
        <v>245</v>
      </c>
      <c r="I2" s="148" t="s">
        <v>246</v>
      </c>
      <c r="J2" s="148" t="s">
        <v>247</v>
      </c>
      <c r="K2" s="148" t="s">
        <v>248</v>
      </c>
      <c r="L2" s="148" t="s">
        <v>249</v>
      </c>
      <c r="M2" s="149"/>
      <c r="N2" s="145"/>
      <c r="O2" s="146" t="s">
        <v>250</v>
      </c>
      <c r="P2" s="146"/>
      <c r="Q2" s="146"/>
      <c r="R2" s="150"/>
      <c r="S2" s="145"/>
    </row>
    <row r="3" spans="2:21" ht="15.6" x14ac:dyDescent="0.3">
      <c r="B3" s="145"/>
      <c r="C3" s="151"/>
      <c r="D3" s="151"/>
      <c r="E3" s="151"/>
      <c r="F3" s="151"/>
      <c r="G3" s="151"/>
      <c r="H3" s="151"/>
      <c r="I3" s="151"/>
      <c r="J3" s="151"/>
      <c r="K3" s="151"/>
      <c r="L3" s="151"/>
      <c r="M3" s="151"/>
      <c r="N3" s="145"/>
      <c r="O3" s="145" t="s">
        <v>251</v>
      </c>
      <c r="P3" s="145"/>
      <c r="Q3" s="145"/>
      <c r="R3" s="152">
        <v>5.5500000000000001E-2</v>
      </c>
      <c r="S3" s="145"/>
    </row>
    <row r="4" spans="2:21" ht="15.6" x14ac:dyDescent="0.3">
      <c r="B4" s="153" t="s">
        <v>252</v>
      </c>
      <c r="C4" s="151">
        <f>'Forecasting '!B4*(1+$C$65)</f>
        <v>13076910.000000002</v>
      </c>
      <c r="D4" s="151">
        <f>C4*(1+$C$65)</f>
        <v>14515370.100000003</v>
      </c>
      <c r="E4" s="151">
        <f t="shared" ref="E4:G4" si="0">D4*(1+$C$65)</f>
        <v>16112060.811000004</v>
      </c>
      <c r="F4" s="151">
        <f t="shared" si="0"/>
        <v>17884387.500210006</v>
      </c>
      <c r="G4" s="151">
        <f t="shared" si="0"/>
        <v>19851670.125233106</v>
      </c>
      <c r="H4" s="151">
        <f>Exhibits!H7</f>
        <v>21638320.438983653</v>
      </c>
      <c r="I4" s="151">
        <f>Exhibits!I7</f>
        <v>23369386.07410235</v>
      </c>
      <c r="J4" s="151">
        <f>Exhibits!J7</f>
        <v>25005243.09928951</v>
      </c>
      <c r="K4" s="151">
        <f>Exhibits!K7</f>
        <v>26505557.685246885</v>
      </c>
      <c r="L4" s="151">
        <f>Exhibits!L7</f>
        <v>27830835.569509234</v>
      </c>
      <c r="M4" s="151"/>
      <c r="N4" s="145"/>
      <c r="O4" s="145" t="s">
        <v>253</v>
      </c>
      <c r="P4" s="145"/>
      <c r="Q4" s="145"/>
      <c r="R4" s="152">
        <v>0.2661</v>
      </c>
      <c r="S4" s="145"/>
    </row>
    <row r="5" spans="2:21" ht="15.6" x14ac:dyDescent="0.3">
      <c r="B5" s="154" t="s">
        <v>254</v>
      </c>
      <c r="C5" s="155">
        <f>(C4-Exhibits!AM6)/Exhibits!AM6</f>
        <v>0.10158453373768021</v>
      </c>
      <c r="D5" s="155">
        <f t="shared" ref="D5:L5" si="1">(D4-C4)/C4</f>
        <v>0.1100000000000001</v>
      </c>
      <c r="E5" s="155">
        <f>(E4-D4)/D4</f>
        <v>0.11000000000000004</v>
      </c>
      <c r="F5" s="155">
        <f t="shared" si="1"/>
        <v>0.11000000000000006</v>
      </c>
      <c r="G5" s="155">
        <f t="shared" si="1"/>
        <v>0.11</v>
      </c>
      <c r="H5" s="155">
        <f t="shared" si="1"/>
        <v>9.0000000124904694E-2</v>
      </c>
      <c r="I5" s="155">
        <f t="shared" si="1"/>
        <v>8.000000000000021E-2</v>
      </c>
      <c r="J5" s="155">
        <f t="shared" si="1"/>
        <v>6.999999999999984E-2</v>
      </c>
      <c r="K5" s="155">
        <f t="shared" si="1"/>
        <v>6.000000000000015E-2</v>
      </c>
      <c r="L5" s="155">
        <f t="shared" si="1"/>
        <v>5.0000000000000197E-2</v>
      </c>
      <c r="M5" s="155"/>
      <c r="N5" s="145"/>
      <c r="O5" s="145" t="s">
        <v>255</v>
      </c>
      <c r="P5" s="145"/>
      <c r="Q5" s="145"/>
      <c r="R5" s="152">
        <f>R3*(1-R4)</f>
        <v>4.0731450000000002E-2</v>
      </c>
      <c r="S5" s="145"/>
    </row>
    <row r="6" spans="2:21" x14ac:dyDescent="0.25">
      <c r="B6" s="145"/>
      <c r="C6" s="145"/>
      <c r="D6" s="145"/>
      <c r="E6" s="145"/>
      <c r="F6" s="145"/>
      <c r="G6" s="145"/>
      <c r="H6" s="145"/>
      <c r="I6" s="145"/>
      <c r="J6" s="145"/>
      <c r="K6" s="145"/>
      <c r="L6" s="145"/>
      <c r="M6" s="145"/>
      <c r="N6" s="145"/>
      <c r="O6" s="145"/>
      <c r="P6" s="145"/>
      <c r="Q6" s="145"/>
      <c r="R6" s="152"/>
      <c r="S6" s="145"/>
      <c r="U6" s="1" t="s">
        <v>178</v>
      </c>
    </row>
    <row r="7" spans="2:21" x14ac:dyDescent="0.25">
      <c r="B7" s="145" t="s">
        <v>256</v>
      </c>
      <c r="C7" s="156">
        <f>Exhibits!C10</f>
        <v>7909370</v>
      </c>
      <c r="D7" s="156">
        <f>Exhibits!D10</f>
        <v>8146651.1000000006</v>
      </c>
      <c r="E7" s="156">
        <f>Exhibits!E10</f>
        <v>8350317.3774999995</v>
      </c>
      <c r="F7" s="156">
        <f>Exhibits!F10</f>
        <v>8559075.3119374979</v>
      </c>
      <c r="G7" s="156">
        <f>Exhibits!G10</f>
        <v>8773052.194735935</v>
      </c>
      <c r="H7" s="156">
        <f>Exhibits!H10</f>
        <v>8992378.4996043332</v>
      </c>
      <c r="I7" s="156">
        <f>Exhibits!I10</f>
        <v>9217187.9620944411</v>
      </c>
      <c r="J7" s="156">
        <f>Exhibits!J10</f>
        <v>9447617.661146801</v>
      </c>
      <c r="K7" s="156">
        <f>Exhibits!K10</f>
        <v>9683808.1026754696</v>
      </c>
      <c r="L7" s="156">
        <f>Exhibits!L10</f>
        <v>9925903.3052423559</v>
      </c>
      <c r="M7" s="156"/>
      <c r="N7" s="145"/>
      <c r="O7" s="145" t="s">
        <v>257</v>
      </c>
      <c r="P7" s="145"/>
      <c r="Q7" s="145"/>
      <c r="R7" s="152">
        <v>4.1110000000000001E-2</v>
      </c>
      <c r="S7" s="145"/>
    </row>
    <row r="8" spans="2:21" ht="15.6" x14ac:dyDescent="0.3">
      <c r="B8" s="153" t="s">
        <v>258</v>
      </c>
      <c r="C8" s="151">
        <f t="shared" ref="C8:L8" si="2">C4-C7</f>
        <v>5167540.0000000019</v>
      </c>
      <c r="D8" s="151">
        <f t="shared" si="2"/>
        <v>6368719.0000000028</v>
      </c>
      <c r="E8" s="151">
        <f t="shared" si="2"/>
        <v>7761743.4335000049</v>
      </c>
      <c r="F8" s="151">
        <f t="shared" si="2"/>
        <v>9325312.1882725079</v>
      </c>
      <c r="G8" s="151">
        <f t="shared" si="2"/>
        <v>11078617.930497171</v>
      </c>
      <c r="H8" s="151">
        <f t="shared" si="2"/>
        <v>12645941.93937932</v>
      </c>
      <c r="I8" s="151">
        <f t="shared" si="2"/>
        <v>14152198.112007909</v>
      </c>
      <c r="J8" s="151">
        <f t="shared" si="2"/>
        <v>15557625.438142709</v>
      </c>
      <c r="K8" s="151">
        <f t="shared" si="2"/>
        <v>16821749.582571417</v>
      </c>
      <c r="L8" s="151">
        <f t="shared" si="2"/>
        <v>17904932.264266878</v>
      </c>
      <c r="M8" s="151"/>
      <c r="N8" s="145"/>
      <c r="O8" s="145" t="s">
        <v>259</v>
      </c>
      <c r="P8" s="145"/>
      <c r="Q8" s="145"/>
      <c r="R8" s="152">
        <v>8.3799999999999999E-2</v>
      </c>
      <c r="S8" s="145"/>
    </row>
    <row r="9" spans="2:21" x14ac:dyDescent="0.25">
      <c r="B9" s="145"/>
      <c r="C9" s="152"/>
      <c r="D9" s="152"/>
      <c r="E9" s="152"/>
      <c r="F9" s="152"/>
      <c r="G9" s="152"/>
      <c r="H9" s="152"/>
      <c r="I9" s="152"/>
      <c r="J9" s="152"/>
      <c r="K9" s="152"/>
      <c r="L9" s="152"/>
      <c r="M9" s="152"/>
      <c r="N9" s="145"/>
      <c r="O9" s="145" t="s">
        <v>260</v>
      </c>
      <c r="P9" s="145"/>
      <c r="Q9" s="145"/>
      <c r="R9" s="152">
        <f>R8-R7</f>
        <v>4.2689999999999999E-2</v>
      </c>
      <c r="S9" s="145"/>
      <c r="T9" s="42"/>
    </row>
    <row r="10" spans="2:21" x14ac:dyDescent="0.25">
      <c r="B10" s="145" t="s">
        <v>261</v>
      </c>
      <c r="C10" s="156">
        <f>Exhibits!C14</f>
        <v>102699.99999999999</v>
      </c>
      <c r="D10" s="156">
        <f>Exhibits!D14</f>
        <v>105472.89999999998</v>
      </c>
      <c r="E10" s="156">
        <f>Exhibits!E14</f>
        <v>108320.66829999998</v>
      </c>
      <c r="F10" s="156">
        <f>Exhibits!F14</f>
        <v>111245.32634409997</v>
      </c>
      <c r="G10" s="156">
        <f>Exhibits!G14</f>
        <v>114248.95015539066</v>
      </c>
      <c r="H10" s="156">
        <f>Exhibits!H14</f>
        <v>117333.6718095862</v>
      </c>
      <c r="I10" s="156">
        <f>Exhibits!I14</f>
        <v>120501.68094844502</v>
      </c>
      <c r="J10" s="156">
        <f>Exhibits!J14</f>
        <v>123755.22633405302</v>
      </c>
      <c r="K10" s="156">
        <f>Exhibits!K14</f>
        <v>127096.61744507244</v>
      </c>
      <c r="L10" s="156">
        <f>Exhibits!L14</f>
        <v>130528.22611608938</v>
      </c>
      <c r="M10" s="156"/>
      <c r="N10" s="145"/>
      <c r="O10" s="145"/>
      <c r="P10" s="145"/>
      <c r="Q10" s="145"/>
      <c r="R10" s="157"/>
      <c r="S10" s="145"/>
    </row>
    <row r="11" spans="2:21" ht="15.6" x14ac:dyDescent="0.3">
      <c r="B11" s="153" t="s">
        <v>262</v>
      </c>
      <c r="C11" s="151">
        <f t="shared" ref="C11:L11" si="3">C8-C10</f>
        <v>5064840.0000000019</v>
      </c>
      <c r="D11" s="151">
        <f t="shared" si="3"/>
        <v>6263246.1000000024</v>
      </c>
      <c r="E11" s="151">
        <f t="shared" si="3"/>
        <v>7653422.7652000049</v>
      </c>
      <c r="F11" s="151">
        <f t="shared" si="3"/>
        <v>9214066.8619284071</v>
      </c>
      <c r="G11" s="151">
        <f t="shared" si="3"/>
        <v>10964368.980341781</v>
      </c>
      <c r="H11" s="151">
        <f t="shared" si="3"/>
        <v>12528608.267569734</v>
      </c>
      <c r="I11" s="151">
        <f t="shared" si="3"/>
        <v>14031696.431059463</v>
      </c>
      <c r="J11" s="151">
        <f t="shared" si="3"/>
        <v>15433870.211808657</v>
      </c>
      <c r="K11" s="151">
        <f t="shared" si="3"/>
        <v>16694652.965126345</v>
      </c>
      <c r="L11" s="151">
        <f t="shared" si="3"/>
        <v>17774404.038150787</v>
      </c>
      <c r="M11" s="151"/>
      <c r="N11" s="145"/>
      <c r="O11" s="145" t="s">
        <v>263</v>
      </c>
      <c r="P11" s="145"/>
      <c r="Q11" s="145"/>
      <c r="R11" s="373">
        <v>0.42</v>
      </c>
      <c r="S11" s="145"/>
    </row>
    <row r="12" spans="2:21" ht="15.6" x14ac:dyDescent="0.3">
      <c r="B12" s="154" t="s">
        <v>264</v>
      </c>
      <c r="C12" s="155">
        <f t="shared" ref="C12:L12" si="4">C11/C4</f>
        <v>0.38731168142932859</v>
      </c>
      <c r="D12" s="155">
        <f t="shared" si="4"/>
        <v>0.43149062385946335</v>
      </c>
      <c r="E12" s="155">
        <f t="shared" si="4"/>
        <v>0.47501203322016206</v>
      </c>
      <c r="F12" s="155">
        <f t="shared" si="4"/>
        <v>0.51520170102667551</v>
      </c>
      <c r="G12" s="155">
        <f t="shared" si="4"/>
        <v>0.55231468743806933</v>
      </c>
      <c r="H12" s="155">
        <f t="shared" si="4"/>
        <v>0.57900095817964514</v>
      </c>
      <c r="I12" s="155">
        <f t="shared" si="4"/>
        <v>0.60043068254194354</v>
      </c>
      <c r="J12" s="155">
        <f t="shared" si="4"/>
        <v>0.61722536151816854</v>
      </c>
      <c r="K12" s="155">
        <f t="shared" si="4"/>
        <v>0.6298548086923923</v>
      </c>
      <c r="L12" s="155">
        <f t="shared" si="4"/>
        <v>0.63865865592709614</v>
      </c>
      <c r="M12" s="155"/>
      <c r="N12" s="145"/>
      <c r="O12" s="145" t="s">
        <v>265</v>
      </c>
      <c r="P12" s="145"/>
      <c r="Q12" s="145"/>
      <c r="R12" s="152">
        <f>R7+R11*(R8-R7)</f>
        <v>5.9039800000000003E-2</v>
      </c>
      <c r="S12" s="145"/>
    </row>
    <row r="13" spans="2:21" x14ac:dyDescent="0.25">
      <c r="B13" s="145"/>
      <c r="C13" s="145"/>
      <c r="D13" s="145"/>
      <c r="E13" s="145"/>
      <c r="F13" s="145"/>
      <c r="G13" s="145"/>
      <c r="H13" s="145"/>
      <c r="I13" s="145"/>
      <c r="J13" s="145"/>
      <c r="K13" s="145"/>
      <c r="L13" s="145"/>
      <c r="M13" s="145"/>
      <c r="N13" s="145"/>
      <c r="O13" s="145"/>
      <c r="P13" s="145"/>
      <c r="Q13" s="145"/>
      <c r="R13" s="156"/>
      <c r="S13" s="145"/>
    </row>
    <row r="14" spans="2:21" x14ac:dyDescent="0.25">
      <c r="B14" s="145" t="s">
        <v>266</v>
      </c>
      <c r="C14" s="156">
        <f>Exhibits!C19</f>
        <v>2617440.0000000005</v>
      </c>
      <c r="D14" s="156">
        <f>Exhibits!D19</f>
        <v>2931532.8000000007</v>
      </c>
      <c r="E14" s="156">
        <f>Exhibits!E19</f>
        <v>3283316.736000001</v>
      </c>
      <c r="F14" s="156">
        <f>Exhibits!F19</f>
        <v>3677314.7443200015</v>
      </c>
      <c r="G14" s="156">
        <f>Exhibits!G19</f>
        <v>4118592.5136384019</v>
      </c>
      <c r="H14" s="156">
        <f>Exhibits!H19</f>
        <v>4612823.6152750105</v>
      </c>
      <c r="I14" s="156">
        <f>Exhibits!I19</f>
        <v>5166362.449108012</v>
      </c>
      <c r="J14" s="156">
        <f>Exhibits!J19</f>
        <v>5786325.9430009741</v>
      </c>
      <c r="K14" s="156">
        <f>Exhibits!K19</f>
        <v>6480685.0561610917</v>
      </c>
      <c r="L14" s="156">
        <f>Exhibits!L19</f>
        <v>7258367.2629004233</v>
      </c>
      <c r="M14" s="156"/>
      <c r="N14" s="145"/>
      <c r="O14" s="145" t="s">
        <v>267</v>
      </c>
      <c r="P14" s="145"/>
      <c r="Q14" s="145"/>
      <c r="R14" s="152">
        <v>0.35799999999999998</v>
      </c>
      <c r="S14" s="145"/>
    </row>
    <row r="15" spans="2:21" ht="15.6" x14ac:dyDescent="0.3">
      <c r="B15" s="153" t="s">
        <v>268</v>
      </c>
      <c r="C15" s="151">
        <f t="shared" ref="C15:L15" si="5">C11-C14</f>
        <v>2447400.0000000014</v>
      </c>
      <c r="D15" s="151">
        <f t="shared" si="5"/>
        <v>3331713.3000000017</v>
      </c>
      <c r="E15" s="151">
        <f t="shared" si="5"/>
        <v>4370106.0292000044</v>
      </c>
      <c r="F15" s="151">
        <f t="shared" si="5"/>
        <v>5536752.1176084056</v>
      </c>
      <c r="G15" s="151">
        <f t="shared" si="5"/>
        <v>6845776.4667033795</v>
      </c>
      <c r="H15" s="151">
        <f t="shared" si="5"/>
        <v>7915784.6522947233</v>
      </c>
      <c r="I15" s="151">
        <f t="shared" si="5"/>
        <v>8865333.9819514509</v>
      </c>
      <c r="J15" s="151">
        <f t="shared" si="5"/>
        <v>9647544.2688076831</v>
      </c>
      <c r="K15" s="151">
        <f t="shared" si="5"/>
        <v>10213967.908965252</v>
      </c>
      <c r="L15" s="151">
        <f t="shared" si="5"/>
        <v>10516036.775250364</v>
      </c>
      <c r="M15" s="151"/>
      <c r="N15" s="151"/>
      <c r="O15" s="145" t="s">
        <v>269</v>
      </c>
      <c r="P15" s="145"/>
      <c r="Q15" s="145"/>
      <c r="R15" s="152">
        <f>1-R14</f>
        <v>0.64200000000000002</v>
      </c>
      <c r="S15" s="145"/>
    </row>
    <row r="16" spans="2:21" ht="15.6" x14ac:dyDescent="0.3">
      <c r="B16" s="154"/>
      <c r="C16" s="155"/>
      <c r="D16" s="155"/>
      <c r="E16" s="155"/>
      <c r="F16" s="155"/>
      <c r="G16" s="155"/>
      <c r="H16" s="155"/>
      <c r="I16" s="155"/>
      <c r="J16" s="155"/>
      <c r="K16" s="155"/>
      <c r="L16" s="155"/>
      <c r="M16" s="155"/>
      <c r="N16" s="145"/>
      <c r="O16" s="153" t="s">
        <v>270</v>
      </c>
      <c r="P16" s="153"/>
      <c r="Q16" s="153"/>
      <c r="R16" s="159">
        <f>(R14*R5)+(R15*R12)</f>
        <v>5.2485410699999999E-2</v>
      </c>
      <c r="S16" s="145"/>
    </row>
    <row r="17" spans="2:44" x14ac:dyDescent="0.25">
      <c r="B17" s="145" t="s">
        <v>271</v>
      </c>
      <c r="C17" s="156">
        <f>C15*Exhibits!C21</f>
        <v>482364.58408601879</v>
      </c>
      <c r="D17" s="156">
        <f>D15*Exhibits!D21</f>
        <v>682209.4626214176</v>
      </c>
      <c r="E17" s="156">
        <f>E15*Exhibits!E21</f>
        <v>928350.57117250771</v>
      </c>
      <c r="F17" s="156">
        <f>F15*Exhibits!F21</f>
        <v>1218648.772138742</v>
      </c>
      <c r="G17" s="156">
        <f>G15*Exhibits!G21</f>
        <v>1559272.3058661378</v>
      </c>
      <c r="H17" s="156">
        <f>H15*Exhibits!H21</f>
        <v>1863701.2328331557</v>
      </c>
      <c r="I17" s="156">
        <f>I15*Exhibits!I21</f>
        <v>2155258.5756673892</v>
      </c>
      <c r="J17" s="156">
        <f>J15*Exhibits!J21</f>
        <v>2419416.0503069698</v>
      </c>
      <c r="K17" s="156">
        <f>K15*Exhibits!K21</f>
        <v>2639802.0470552081</v>
      </c>
      <c r="L17" s="156">
        <f>L15*Exhibits!L21</f>
        <v>2798526.5697607864</v>
      </c>
      <c r="M17" s="156"/>
      <c r="N17" s="145"/>
      <c r="O17" s="145"/>
      <c r="P17" s="145"/>
      <c r="Q17" s="145"/>
      <c r="R17" s="157"/>
      <c r="S17" s="145"/>
    </row>
    <row r="18" spans="2:44" ht="15.6" x14ac:dyDescent="0.3">
      <c r="B18" s="153" t="s">
        <v>272</v>
      </c>
      <c r="C18" s="151">
        <f t="shared" ref="C18:L18" si="6">C15-C17</f>
        <v>1965035.4159139825</v>
      </c>
      <c r="D18" s="151">
        <f t="shared" si="6"/>
        <v>2649503.8373785838</v>
      </c>
      <c r="E18" s="151">
        <f t="shared" si="6"/>
        <v>3441755.4580274969</v>
      </c>
      <c r="F18" s="151">
        <f t="shared" si="6"/>
        <v>4318103.3454696639</v>
      </c>
      <c r="G18" s="151">
        <f t="shared" si="6"/>
        <v>5286504.1608372414</v>
      </c>
      <c r="H18" s="151">
        <f t="shared" si="6"/>
        <v>6052083.4194615679</v>
      </c>
      <c r="I18" s="151">
        <f t="shared" si="6"/>
        <v>6710075.4062840622</v>
      </c>
      <c r="J18" s="151">
        <f t="shared" si="6"/>
        <v>7228128.2185007129</v>
      </c>
      <c r="K18" s="151">
        <f t="shared" si="6"/>
        <v>7574165.8619100442</v>
      </c>
      <c r="L18" s="151">
        <f t="shared" si="6"/>
        <v>7717510.2054895777</v>
      </c>
      <c r="M18" s="151"/>
      <c r="N18" s="145"/>
      <c r="O18" s="146" t="s">
        <v>273</v>
      </c>
      <c r="P18" s="146"/>
      <c r="Q18" s="146"/>
      <c r="R18" s="150"/>
      <c r="S18" s="145"/>
    </row>
    <row r="19" spans="2:44" x14ac:dyDescent="0.25">
      <c r="B19" s="145"/>
      <c r="C19" s="156"/>
      <c r="D19" s="156"/>
      <c r="E19" s="156"/>
      <c r="F19" s="156"/>
      <c r="G19" s="156"/>
      <c r="H19" s="156"/>
      <c r="I19" s="156"/>
      <c r="J19" s="156"/>
      <c r="K19" s="156"/>
      <c r="L19" s="156"/>
      <c r="M19" s="156"/>
      <c r="N19" s="145"/>
      <c r="O19" s="145" t="s">
        <v>270</v>
      </c>
      <c r="P19" s="145"/>
      <c r="Q19" s="145"/>
      <c r="R19" s="152">
        <f>R16</f>
        <v>5.2485410699999999E-2</v>
      </c>
      <c r="S19" s="145"/>
      <c r="AP19" s="145" t="s">
        <v>274</v>
      </c>
      <c r="AQ19" s="145" t="s">
        <v>275</v>
      </c>
      <c r="AR19" s="145"/>
    </row>
    <row r="20" spans="2:44" ht="15.6" x14ac:dyDescent="0.3">
      <c r="B20" s="145" t="s">
        <v>276</v>
      </c>
      <c r="C20" s="156">
        <f>12700000</f>
        <v>12700000</v>
      </c>
      <c r="D20" s="156">
        <v>12075000</v>
      </c>
      <c r="E20" s="156">
        <v>12075000</v>
      </c>
      <c r="F20" s="156">
        <v>12075000</v>
      </c>
      <c r="G20" s="156">
        <v>12075000</v>
      </c>
      <c r="H20" s="156">
        <f>G20-'Forecasting '!$G$9</f>
        <v>11860000</v>
      </c>
      <c r="I20" s="156">
        <f>H20-'Forecasting '!$G$9</f>
        <v>11645000</v>
      </c>
      <c r="J20" s="156">
        <f>I20-'Forecasting '!$G$9</f>
        <v>11430000</v>
      </c>
      <c r="K20" s="156">
        <f>J20-'Forecasting '!$G$9</f>
        <v>11215000</v>
      </c>
      <c r="L20" s="156">
        <f>K20-'Forecasting '!$G$9</f>
        <v>11000000</v>
      </c>
      <c r="M20" s="156"/>
      <c r="N20" s="145"/>
      <c r="O20" s="153" t="s">
        <v>277</v>
      </c>
      <c r="P20" s="153"/>
      <c r="Q20" s="145"/>
      <c r="R20" s="151">
        <f>SUM(C24:L24)</f>
        <v>-19687569.439560883</v>
      </c>
      <c r="S20" s="145"/>
      <c r="AP20" s="145" t="s">
        <v>215</v>
      </c>
      <c r="AQ20" s="411">
        <f>-7754855.55538018/1000</f>
        <v>-7754.8555553801798</v>
      </c>
      <c r="AR20" s="145"/>
    </row>
    <row r="21" spans="2:44" x14ac:dyDescent="0.25">
      <c r="B21" s="145" t="s">
        <v>278</v>
      </c>
      <c r="C21" s="145"/>
      <c r="D21" s="145"/>
      <c r="E21" s="145"/>
      <c r="F21" s="156"/>
      <c r="G21" s="156"/>
      <c r="H21" s="156"/>
      <c r="I21" s="156"/>
      <c r="J21" s="156"/>
      <c r="K21" s="156"/>
      <c r="L21" s="156"/>
      <c r="M21" s="156"/>
      <c r="N21" s="145"/>
      <c r="O21" s="145"/>
      <c r="P21" s="145"/>
      <c r="R21" s="160"/>
      <c r="S21" s="145"/>
      <c r="AP21" s="145" t="s">
        <v>216</v>
      </c>
      <c r="AQ21" s="411">
        <f>-5894894.20518348/1000</f>
        <v>-5894.8942051834802</v>
      </c>
      <c r="AR21" s="145"/>
    </row>
    <row r="22" spans="2:44" ht="15.6" x14ac:dyDescent="0.3">
      <c r="B22" s="145" t="s">
        <v>279</v>
      </c>
      <c r="C22" s="156">
        <f>Exhibits!C22</f>
        <v>44347.750037462545</v>
      </c>
      <c r="D22" s="156">
        <f>Exhibits!D22</f>
        <v>35961.502504120908</v>
      </c>
      <c r="E22" s="156">
        <f>Exhibits!E22</f>
        <v>39917.267779574264</v>
      </c>
      <c r="F22" s="156">
        <f>Exhibits!F22</f>
        <v>44308.167235327375</v>
      </c>
      <c r="G22" s="156">
        <f>Exhibits!G22</f>
        <v>49182.065631213416</v>
      </c>
      <c r="H22" s="156">
        <f>Exhibits!H22</f>
        <v>44666.25778689282</v>
      </c>
      <c r="I22" s="156">
        <f>Exhibits!I22</f>
        <v>43276.640877967424</v>
      </c>
      <c r="J22" s="156">
        <f>Exhibits!J22</f>
        <v>40896.425629679026</v>
      </c>
      <c r="K22" s="156">
        <f>Exhibits!K22</f>
        <v>37507.864648934359</v>
      </c>
      <c r="L22" s="156">
        <f>Exhibits!L22</f>
        <v>33131.947106558735</v>
      </c>
      <c r="M22" s="156"/>
      <c r="N22" s="156"/>
      <c r="O22" s="145" t="s">
        <v>280</v>
      </c>
      <c r="P22" s="145"/>
      <c r="Q22" s="145"/>
      <c r="R22" s="151">
        <f>L24*(1+R23)</f>
        <v>4033428.6682729609</v>
      </c>
      <c r="S22" s="145"/>
      <c r="AP22" s="145" t="s">
        <v>242</v>
      </c>
      <c r="AQ22" s="411">
        <f>-4623044.01808386/1000</f>
        <v>-4623.0440180838605</v>
      </c>
      <c r="AR22" s="145"/>
    </row>
    <row r="23" spans="2:44" x14ac:dyDescent="0.25">
      <c r="B23" s="145" t="s">
        <v>266</v>
      </c>
      <c r="C23" s="156">
        <f t="shared" ref="C23:L23" si="7">C14</f>
        <v>2617440.0000000005</v>
      </c>
      <c r="D23" s="156">
        <f t="shared" si="7"/>
        <v>2931532.8000000007</v>
      </c>
      <c r="E23" s="156">
        <f t="shared" si="7"/>
        <v>3283316.736000001</v>
      </c>
      <c r="F23" s="156">
        <f t="shared" si="7"/>
        <v>3677314.7443200015</v>
      </c>
      <c r="G23" s="156">
        <f t="shared" si="7"/>
        <v>4118592.5136384019</v>
      </c>
      <c r="H23" s="156">
        <f t="shared" si="7"/>
        <v>4612823.6152750105</v>
      </c>
      <c r="I23" s="156">
        <f t="shared" si="7"/>
        <v>5166362.449108012</v>
      </c>
      <c r="J23" s="156">
        <f t="shared" si="7"/>
        <v>5786325.9430009741</v>
      </c>
      <c r="K23" s="156">
        <f t="shared" si="7"/>
        <v>6480685.0561610917</v>
      </c>
      <c r="L23" s="156">
        <f t="shared" si="7"/>
        <v>7258367.2629004233</v>
      </c>
      <c r="M23" s="156"/>
      <c r="N23" s="145"/>
      <c r="O23" s="145" t="s">
        <v>281</v>
      </c>
      <c r="P23" s="145"/>
      <c r="Q23" s="145"/>
      <c r="R23" s="152">
        <v>2.3E-2</v>
      </c>
      <c r="S23" s="145"/>
      <c r="AP23" s="145" t="s">
        <v>243</v>
      </c>
      <c r="AQ23" s="411">
        <f>-3360800.5744626/1000</f>
        <v>-3360.8005744626003</v>
      </c>
      <c r="AR23" s="145"/>
    </row>
    <row r="24" spans="2:44" ht="15.6" x14ac:dyDescent="0.3">
      <c r="B24" s="153" t="s">
        <v>282</v>
      </c>
      <c r="C24" s="151">
        <f t="shared" ref="C24:L24" si="8">C18-C20-C22+C23</f>
        <v>-8161872.3341234811</v>
      </c>
      <c r="D24" s="151">
        <f t="shared" si="8"/>
        <v>-6529924.8651255369</v>
      </c>
      <c r="E24" s="151">
        <f t="shared" si="8"/>
        <v>-5389845.0737520754</v>
      </c>
      <c r="F24" s="151">
        <f t="shared" si="8"/>
        <v>-4123890.0774456616</v>
      </c>
      <c r="G24" s="151">
        <f t="shared" si="8"/>
        <v>-2719085.3911555703</v>
      </c>
      <c r="H24" s="151">
        <f t="shared" si="8"/>
        <v>-1239759.2230503149</v>
      </c>
      <c r="I24" s="151">
        <f t="shared" si="8"/>
        <v>188161.21451410651</v>
      </c>
      <c r="J24" s="151">
        <f t="shared" si="8"/>
        <v>1543557.7358720079</v>
      </c>
      <c r="K24" s="151">
        <f t="shared" si="8"/>
        <v>2802343.0534222014</v>
      </c>
      <c r="L24" s="151">
        <f t="shared" si="8"/>
        <v>3942745.5212834422</v>
      </c>
      <c r="M24" s="151"/>
      <c r="N24" s="145"/>
      <c r="O24" s="145" t="s">
        <v>283</v>
      </c>
      <c r="P24" s="145"/>
      <c r="Q24" s="145"/>
      <c r="R24" s="151">
        <f>(R22*1+R23)/(R16-R23)</f>
        <v>136794048.158636</v>
      </c>
      <c r="S24" s="145"/>
      <c r="AP24" s="145" t="s">
        <v>244</v>
      </c>
      <c r="AQ24" s="411">
        <f>-2105437.84095161/1000</f>
        <v>-2105.4378409516098</v>
      </c>
      <c r="AR24" s="145"/>
    </row>
    <row r="25" spans="2:44" x14ac:dyDescent="0.25">
      <c r="B25" s="145"/>
      <c r="C25" s="145">
        <v>1</v>
      </c>
      <c r="D25" s="145">
        <v>2</v>
      </c>
      <c r="E25" s="145">
        <v>3</v>
      </c>
      <c r="F25" s="145">
        <v>4</v>
      </c>
      <c r="G25" s="145">
        <v>5</v>
      </c>
      <c r="H25" s="145">
        <v>6</v>
      </c>
      <c r="I25" s="145">
        <v>7</v>
      </c>
      <c r="J25" s="145">
        <v>8</v>
      </c>
      <c r="K25" s="145">
        <v>9</v>
      </c>
      <c r="L25" s="145">
        <v>10</v>
      </c>
      <c r="M25" s="145"/>
      <c r="N25" s="145"/>
      <c r="O25" s="145"/>
      <c r="P25" s="145"/>
      <c r="Q25" s="145"/>
      <c r="R25" s="161"/>
      <c r="S25" s="145"/>
      <c r="AP25" s="145" t="s">
        <v>245</v>
      </c>
      <c r="AQ25" s="411">
        <f>-912096.608941968/1000</f>
        <v>-912.09660894196793</v>
      </c>
      <c r="AR25" s="145"/>
    </row>
    <row r="26" spans="2:44" x14ac:dyDescent="0.25">
      <c r="B26" s="145" t="s">
        <v>284</v>
      </c>
      <c r="C26" s="145">
        <f t="shared" ref="C26:L26" si="9">C24/(1+$R$16)^C25</f>
        <v>-7754855.5553801768</v>
      </c>
      <c r="D26" s="145">
        <f t="shared" si="9"/>
        <v>-5894894.2051834799</v>
      </c>
      <c r="E26" s="145">
        <f t="shared" si="9"/>
        <v>-4623044.018083862</v>
      </c>
      <c r="F26" s="145">
        <f t="shared" si="9"/>
        <v>-3360800.5744625963</v>
      </c>
      <c r="G26" s="145">
        <f t="shared" si="9"/>
        <v>-2105437.8409516113</v>
      </c>
      <c r="H26" s="145">
        <f t="shared" si="9"/>
        <v>-912096.60894196783</v>
      </c>
      <c r="I26" s="145">
        <f t="shared" si="9"/>
        <v>131527.78801577038</v>
      </c>
      <c r="J26" s="145">
        <f t="shared" si="9"/>
        <v>1025166.0205966276</v>
      </c>
      <c r="K26" s="145">
        <f t="shared" si="9"/>
        <v>1768383.8455333081</v>
      </c>
      <c r="L26" s="145">
        <f t="shared" si="9"/>
        <v>2363947.909355164</v>
      </c>
      <c r="M26" s="145"/>
      <c r="N26" s="145"/>
      <c r="O26" s="145"/>
      <c r="P26" s="145"/>
      <c r="Q26" s="145"/>
      <c r="R26" s="161"/>
      <c r="S26" s="145"/>
      <c r="AP26" s="145" t="s">
        <v>246</v>
      </c>
      <c r="AQ26" s="411">
        <f>131527.78801577/1000</f>
        <v>131.52778801577</v>
      </c>
      <c r="AR26" s="145"/>
    </row>
    <row r="27" spans="2:44" ht="15.6" x14ac:dyDescent="0.3">
      <c r="B27" s="162" t="s">
        <v>285</v>
      </c>
      <c r="C27" s="162"/>
      <c r="D27" s="162"/>
      <c r="E27" s="162"/>
      <c r="F27" s="162"/>
      <c r="G27" s="162"/>
      <c r="H27" s="162"/>
      <c r="I27" s="162"/>
      <c r="J27" s="162"/>
      <c r="K27" s="162"/>
      <c r="L27" s="162"/>
      <c r="M27" s="163"/>
      <c r="N27" s="145"/>
      <c r="O27" s="153" t="s">
        <v>286</v>
      </c>
      <c r="P27" s="153"/>
      <c r="Q27" s="153"/>
      <c r="R27" s="151">
        <f>R24/(1+R19)^10</f>
        <v>82017467.881511286</v>
      </c>
      <c r="S27" s="145"/>
      <c r="AP27" s="145" t="s">
        <v>247</v>
      </c>
      <c r="AQ27" s="411">
        <f>1025166.02059663/1000</f>
        <v>1025.16602059663</v>
      </c>
      <c r="AR27" s="145"/>
    </row>
    <row r="28" spans="2:44" ht="15.6" x14ac:dyDescent="0.3">
      <c r="B28" s="162"/>
      <c r="C28" s="162"/>
      <c r="D28" s="162"/>
      <c r="E28" s="162"/>
      <c r="F28" s="162"/>
      <c r="G28" s="162"/>
      <c r="H28" s="162"/>
      <c r="I28" s="162"/>
      <c r="J28" s="162"/>
      <c r="K28" s="162"/>
      <c r="L28" s="162"/>
      <c r="M28" s="163"/>
      <c r="N28" s="145"/>
      <c r="O28" s="153" t="s">
        <v>287</v>
      </c>
      <c r="P28" s="153"/>
      <c r="Q28" s="153"/>
      <c r="R28" s="151">
        <v>0</v>
      </c>
      <c r="S28" s="145"/>
      <c r="AP28" s="145" t="s">
        <v>248</v>
      </c>
      <c r="AQ28" s="411">
        <f>1768383.84553331/1000</f>
        <v>1768.38384553331</v>
      </c>
      <c r="AR28" s="145"/>
    </row>
    <row r="29" spans="2:44" ht="29.1" customHeight="1" x14ac:dyDescent="0.3">
      <c r="B29" s="162"/>
      <c r="C29" s="162"/>
      <c r="D29" s="162"/>
      <c r="E29" s="162"/>
      <c r="F29" s="162"/>
      <c r="G29" s="162"/>
      <c r="H29" s="162"/>
      <c r="I29" s="162"/>
      <c r="J29" s="162"/>
      <c r="K29" s="162"/>
      <c r="L29" s="162"/>
      <c r="M29" s="163"/>
      <c r="N29" s="145"/>
      <c r="O29" s="178" t="s">
        <v>288</v>
      </c>
      <c r="P29" s="153"/>
      <c r="Q29" s="153"/>
      <c r="R29" s="151">
        <v>147000</v>
      </c>
      <c r="S29" s="145"/>
      <c r="AP29" s="145" t="s">
        <v>249</v>
      </c>
      <c r="AQ29" s="411">
        <f>2363947.90935516/1000</f>
        <v>2363.9479093551599</v>
      </c>
      <c r="AR29" s="145"/>
    </row>
    <row r="30" spans="2:44" ht="31.35" customHeight="1" x14ac:dyDescent="0.3">
      <c r="B30" s="162"/>
      <c r="C30" s="162"/>
      <c r="D30" s="162"/>
      <c r="E30" s="162"/>
      <c r="F30" s="162"/>
      <c r="G30" s="162"/>
      <c r="H30" s="162"/>
      <c r="I30" s="162"/>
      <c r="J30" s="162"/>
      <c r="K30" s="162"/>
      <c r="L30" s="162"/>
      <c r="M30" s="163"/>
      <c r="N30" s="145"/>
      <c r="O30" s="177" t="s">
        <v>289</v>
      </c>
      <c r="P30" s="153"/>
      <c r="Q30" s="153"/>
      <c r="R30" s="151">
        <f>31700000*0.25</f>
        <v>7925000</v>
      </c>
      <c r="S30" s="145"/>
    </row>
    <row r="31" spans="2:44" ht="31.35" customHeight="1" x14ac:dyDescent="0.3">
      <c r="B31" s="162"/>
      <c r="C31" s="162"/>
      <c r="D31" s="162"/>
      <c r="E31" s="162"/>
      <c r="F31" s="162"/>
      <c r="G31" s="162"/>
      <c r="H31" s="162"/>
      <c r="I31" s="162"/>
      <c r="J31" s="162"/>
      <c r="K31" s="162"/>
      <c r="L31" s="162"/>
      <c r="M31" s="163"/>
      <c r="N31" s="145"/>
      <c r="O31" s="153" t="s">
        <v>290</v>
      </c>
      <c r="P31" s="153"/>
      <c r="Q31" s="153"/>
      <c r="R31" s="151">
        <f>R20+R27+R29+R30</f>
        <v>70401898.441950411</v>
      </c>
      <c r="S31" s="145"/>
    </row>
    <row r="32" spans="2:44" ht="15.6" x14ac:dyDescent="0.3">
      <c r="B32" s="145"/>
      <c r="C32" s="145"/>
      <c r="D32" s="145"/>
      <c r="E32" s="145"/>
      <c r="F32" s="145"/>
      <c r="G32" s="164" t="s">
        <v>270</v>
      </c>
      <c r="H32" s="145"/>
      <c r="I32" s="145"/>
      <c r="J32" s="145"/>
      <c r="K32" s="145"/>
      <c r="L32" s="145"/>
      <c r="M32" s="145"/>
      <c r="N32" s="145"/>
      <c r="O32" s="145" t="s">
        <v>291</v>
      </c>
      <c r="P32" s="145"/>
      <c r="Q32" s="145"/>
      <c r="R32" s="151">
        <v>-32688</v>
      </c>
      <c r="S32" s="145"/>
    </row>
    <row r="33" spans="2:64" ht="15.6" x14ac:dyDescent="0.3">
      <c r="B33" s="145"/>
      <c r="C33" s="451" t="s">
        <v>292</v>
      </c>
      <c r="D33" s="173">
        <f>R39</f>
        <v>95.452695437887868</v>
      </c>
      <c r="E33" s="165">
        <v>4.8000000000000001E-2</v>
      </c>
      <c r="F33" s="165">
        <v>0.05</v>
      </c>
      <c r="G33" s="165">
        <v>5.2499999999999998E-2</v>
      </c>
      <c r="H33" s="165">
        <v>5.3999999999999999E-2</v>
      </c>
      <c r="I33" s="165">
        <v>5.6000000000000001E-2</v>
      </c>
      <c r="J33" s="166"/>
      <c r="K33" s="166"/>
      <c r="L33" s="166"/>
      <c r="M33" s="166"/>
      <c r="N33" s="145"/>
      <c r="O33" s="145"/>
      <c r="P33" s="153"/>
      <c r="Q33" s="153"/>
      <c r="R33" s="176"/>
      <c r="S33" s="145"/>
      <c r="U33" s="14"/>
    </row>
    <row r="34" spans="2:64" ht="31.35" customHeight="1" x14ac:dyDescent="0.3">
      <c r="B34" s="145"/>
      <c r="C34" s="451"/>
      <c r="D34" s="165">
        <v>0.01</v>
      </c>
      <c r="E34" s="167">
        <f t="dataTable" ref="E34:I38" dt2D="1" dtr="1" r1="R16" r2="R23"/>
        <v>70.257141618949817</v>
      </c>
      <c r="F34" s="167">
        <v>63.43133762169191</v>
      </c>
      <c r="G34" s="167">
        <v>55.851868908248399</v>
      </c>
      <c r="H34" s="167">
        <v>51.742472406023651</v>
      </c>
      <c r="I34" s="167">
        <v>46.707288390911557</v>
      </c>
      <c r="J34" s="165"/>
      <c r="K34" s="165"/>
      <c r="L34" s="165"/>
      <c r="M34" s="165"/>
      <c r="N34" s="145"/>
      <c r="O34" s="179" t="s">
        <v>293</v>
      </c>
      <c r="P34" s="145"/>
      <c r="Q34" s="145"/>
      <c r="R34" s="151">
        <v>124000</v>
      </c>
      <c r="S34" s="145"/>
      <c r="U34" s="40"/>
    </row>
    <row r="35" spans="2:64" ht="16.350000000000001" customHeight="1" x14ac:dyDescent="0.3">
      <c r="B35" s="145"/>
      <c r="C35" s="451"/>
      <c r="D35" s="165">
        <v>1.4999999999999999E-2</v>
      </c>
      <c r="E35" s="167">
        <v>86.052095392017421</v>
      </c>
      <c r="F35" s="168">
        <v>77.338409920022343</v>
      </c>
      <c r="G35" s="168">
        <v>67.809586754801686</v>
      </c>
      <c r="H35" s="168">
        <v>62.706867047697585</v>
      </c>
      <c r="I35" s="167">
        <v>56.514611600869607</v>
      </c>
      <c r="J35" s="167"/>
      <c r="K35" s="167"/>
      <c r="L35" s="167"/>
      <c r="M35" s="167"/>
      <c r="N35" s="145"/>
      <c r="O35" s="145" t="s">
        <v>294</v>
      </c>
      <c r="P35" s="145"/>
      <c r="Q35" s="145"/>
      <c r="R35" s="151">
        <v>20000</v>
      </c>
      <c r="S35" s="145"/>
      <c r="U35" s="40"/>
    </row>
    <row r="36" spans="2:64" ht="16.350000000000001" customHeight="1" x14ac:dyDescent="0.3">
      <c r="B36" s="145"/>
      <c r="C36" s="451"/>
      <c r="D36" s="165">
        <v>2.2499999999999999E-2</v>
      </c>
      <c r="E36" s="167">
        <v>121.35846264946261</v>
      </c>
      <c r="F36" s="168">
        <v>107.68111311637965</v>
      </c>
      <c r="G36" s="169">
        <v>93.219737178727399</v>
      </c>
      <c r="H36" s="168">
        <v>85.679884392157263</v>
      </c>
      <c r="I36" s="167">
        <v>76.714769854216016</v>
      </c>
      <c r="J36" s="167"/>
      <c r="K36" s="167"/>
      <c r="L36" s="167"/>
      <c r="M36" s="167"/>
      <c r="N36" s="145"/>
      <c r="O36" s="145"/>
      <c r="P36" s="153"/>
      <c r="Q36" s="153"/>
      <c r="R36" s="145"/>
      <c r="S36" s="145"/>
    </row>
    <row r="37" spans="2:64" ht="16.350000000000001" customHeight="1" x14ac:dyDescent="0.3">
      <c r="B37" s="145"/>
      <c r="C37" s="451"/>
      <c r="D37" s="165">
        <v>2.5000000000000001E-2</v>
      </c>
      <c r="E37" s="167">
        <v>138.24411655519728</v>
      </c>
      <c r="F37" s="168">
        <v>121.84104127467972</v>
      </c>
      <c r="G37" s="168">
        <v>104.76980555323912</v>
      </c>
      <c r="H37" s="168">
        <v>95.97813354657022</v>
      </c>
      <c r="I37" s="167">
        <v>85.620215965906368</v>
      </c>
      <c r="J37" s="167"/>
      <c r="K37" s="167"/>
      <c r="L37" s="167"/>
      <c r="M37" s="167"/>
      <c r="N37" s="145"/>
      <c r="O37" s="153" t="s">
        <v>188</v>
      </c>
      <c r="P37" s="145"/>
      <c r="Q37" s="145"/>
      <c r="R37" s="151">
        <f>+R31+R32-R34-R35-R30</f>
        <v>62300210.441950411</v>
      </c>
      <c r="S37" s="145"/>
    </row>
    <row r="38" spans="2:64" ht="16.350000000000001" customHeight="1" x14ac:dyDescent="0.25">
      <c r="B38" s="145"/>
      <c r="C38" s="145"/>
      <c r="D38" s="165">
        <v>0.03</v>
      </c>
      <c r="E38" s="167">
        <v>186.08680262144546</v>
      </c>
      <c r="F38" s="167">
        <v>160.78084371000494</v>
      </c>
      <c r="G38" s="167">
        <v>135.56998788527031</v>
      </c>
      <c r="H38" s="167">
        <v>123.01103757690424</v>
      </c>
      <c r="I38" s="167">
        <v>108.56886556141612</v>
      </c>
      <c r="J38" s="167"/>
      <c r="K38" s="167"/>
      <c r="L38" s="167"/>
      <c r="M38" s="167"/>
      <c r="N38" s="145"/>
      <c r="O38" s="145" t="s">
        <v>295</v>
      </c>
      <c r="P38" s="145"/>
      <c r="Q38" s="145"/>
      <c r="R38" s="158">
        <f>652681521/1000</f>
        <v>652681.52099999995</v>
      </c>
      <c r="S38" s="145"/>
      <c r="U38" s="41"/>
    </row>
    <row r="39" spans="2:64" ht="16.350000000000001" customHeight="1" x14ac:dyDescent="0.3">
      <c r="B39" s="145"/>
      <c r="C39" s="145"/>
      <c r="D39" s="145"/>
      <c r="E39" s="145"/>
      <c r="F39" s="145"/>
      <c r="G39" s="145"/>
      <c r="H39" s="167"/>
      <c r="I39" s="167"/>
      <c r="J39" s="167"/>
      <c r="K39" s="167"/>
      <c r="L39" s="167"/>
      <c r="M39" s="167"/>
      <c r="N39" s="145"/>
      <c r="O39" s="153" t="s">
        <v>296</v>
      </c>
      <c r="P39" s="153"/>
      <c r="Q39" s="153"/>
      <c r="R39" s="151">
        <f>R37/R38</f>
        <v>95.452695437887868</v>
      </c>
      <c r="S39" s="145"/>
    </row>
    <row r="40" spans="2:64" x14ac:dyDescent="0.25">
      <c r="B40" s="145"/>
      <c r="C40" s="145"/>
      <c r="D40" s="145"/>
      <c r="E40" s="145"/>
      <c r="F40" s="145"/>
      <c r="G40" s="145"/>
      <c r="H40" s="145"/>
      <c r="I40" s="145"/>
      <c r="J40" s="145"/>
      <c r="K40" s="145"/>
      <c r="L40" s="145"/>
      <c r="M40" s="145"/>
      <c r="N40" s="145"/>
      <c r="O40" s="145"/>
      <c r="P40" s="145"/>
      <c r="Q40" s="145"/>
      <c r="R40" s="157"/>
      <c r="S40" s="145"/>
      <c r="U40" s="35"/>
    </row>
    <row r="41" spans="2:64" x14ac:dyDescent="0.25">
      <c r="C41" s="36"/>
      <c r="D41" s="36"/>
    </row>
    <row r="42" spans="2:64" x14ac:dyDescent="0.25">
      <c r="C42" s="39"/>
    </row>
    <row r="43" spans="2:64" x14ac:dyDescent="0.25">
      <c r="C43" s="39"/>
      <c r="G43" s="171"/>
    </row>
    <row r="44" spans="2:64" x14ac:dyDescent="0.25">
      <c r="C44" s="39"/>
      <c r="L44" s="39"/>
    </row>
    <row r="45" spans="2:64" x14ac:dyDescent="0.25">
      <c r="C45" s="39"/>
      <c r="K45" s="175"/>
    </row>
    <row r="46" spans="2:64" x14ac:dyDescent="0.25">
      <c r="C46" s="39"/>
      <c r="BL46" s="1">
        <v>9970000</v>
      </c>
    </row>
    <row r="47" spans="2:64" x14ac:dyDescent="0.25">
      <c r="C47" s="39"/>
      <c r="BL47" s="1">
        <v>10860000</v>
      </c>
    </row>
    <row r="48" spans="2:64" x14ac:dyDescent="0.25">
      <c r="C48" s="39"/>
      <c r="BL48" s="1">
        <v>12520000</v>
      </c>
    </row>
    <row r="49" spans="2:67" x14ac:dyDescent="0.25">
      <c r="C49" s="39"/>
      <c r="BL49" s="1">
        <v>13649000</v>
      </c>
    </row>
    <row r="50" spans="2:67" x14ac:dyDescent="0.25">
      <c r="C50" s="39"/>
      <c r="AY50" s="145" t="s">
        <v>274</v>
      </c>
      <c r="AZ50" s="145" t="s">
        <v>297</v>
      </c>
      <c r="BL50" s="1">
        <v>11303000</v>
      </c>
    </row>
    <row r="51" spans="2:67" x14ac:dyDescent="0.25">
      <c r="C51" s="39"/>
      <c r="AY51" s="145" t="s">
        <v>215</v>
      </c>
      <c r="AZ51" s="411">
        <f>13076910/1000</f>
        <v>13076.91</v>
      </c>
      <c r="BL51" s="1">
        <v>11871000</v>
      </c>
    </row>
    <row r="52" spans="2:67" x14ac:dyDescent="0.25">
      <c r="C52" s="39"/>
      <c r="G52" s="467" t="s">
        <v>298</v>
      </c>
      <c r="H52" s="172">
        <v>0.11</v>
      </c>
      <c r="AY52" s="145" t="s">
        <v>216</v>
      </c>
      <c r="AZ52" s="411">
        <f>14515370.1/1000</f>
        <v>14515.3701</v>
      </c>
    </row>
    <row r="53" spans="2:67" ht="15.6" x14ac:dyDescent="0.3">
      <c r="B53" s="153" t="s">
        <v>299</v>
      </c>
      <c r="C53" s="180"/>
      <c r="D53" s="145"/>
      <c r="E53" s="145"/>
      <c r="F53" s="145"/>
      <c r="G53" s="145"/>
      <c r="H53" s="145"/>
      <c r="P53" s="172"/>
      <c r="AY53" s="145" t="s">
        <v>242</v>
      </c>
      <c r="AZ53" s="411">
        <f>16112060.811/1000</f>
        <v>16112.060811000001</v>
      </c>
    </row>
    <row r="54" spans="2:67" ht="15.6" x14ac:dyDescent="0.3">
      <c r="B54" s="180" t="s">
        <v>270</v>
      </c>
      <c r="C54" s="145"/>
      <c r="D54" s="181">
        <v>4.8000000000000001E-2</v>
      </c>
      <c r="E54" s="181">
        <v>0.05</v>
      </c>
      <c r="F54" s="182">
        <v>5.1999999999999998E-2</v>
      </c>
      <c r="G54" s="182">
        <v>5.3999999999999999E-2</v>
      </c>
      <c r="H54" s="182">
        <v>5.6000000000000001E-2</v>
      </c>
      <c r="I54" s="39"/>
      <c r="J54" s="363" t="s">
        <v>300</v>
      </c>
      <c r="K54" s="136"/>
      <c r="L54" s="136"/>
      <c r="M54" s="136"/>
      <c r="AY54" s="145" t="s">
        <v>243</v>
      </c>
      <c r="AZ54" s="411">
        <f>17884387.50021/1000</f>
        <v>17884.387500209999</v>
      </c>
    </row>
    <row r="55" spans="2:67" x14ac:dyDescent="0.25">
      <c r="B55" s="180" t="s">
        <v>301</v>
      </c>
      <c r="C55" s="183">
        <f>R39</f>
        <v>95.452695437887868</v>
      </c>
      <c r="D55" s="279">
        <f t="dataTable" ref="D55:H55" dt2D="0" dtr="1" r1="R16" ca="1"/>
        <v>124.46542296811776</v>
      </c>
      <c r="E55" s="279">
        <v>110.30332203458336</v>
      </c>
      <c r="F55" s="279">
        <v>98.146827091931058</v>
      </c>
      <c r="G55" s="279">
        <v>87.606653588789356</v>
      </c>
      <c r="H55" s="279">
        <v>78.387914275200245</v>
      </c>
      <c r="AY55" s="145" t="s">
        <v>244</v>
      </c>
      <c r="AZ55" s="411">
        <f>19851670.1252331/1000</f>
        <v>19851.6701252331</v>
      </c>
    </row>
    <row r="56" spans="2:67" x14ac:dyDescent="0.25">
      <c r="C56" s="39"/>
      <c r="J56" s="361" t="s">
        <v>302</v>
      </c>
      <c r="K56" s="362" t="s">
        <v>303</v>
      </c>
      <c r="L56" s="361" t="s">
        <v>304</v>
      </c>
      <c r="M56" s="1" t="s">
        <v>305</v>
      </c>
      <c r="AY56" s="145" t="s">
        <v>245</v>
      </c>
      <c r="AZ56" s="411">
        <f>21638320.4389837/1000</f>
        <v>21638.320438983701</v>
      </c>
    </row>
    <row r="57" spans="2:67" ht="15.6" x14ac:dyDescent="0.3">
      <c r="B57" s="153" t="s">
        <v>306</v>
      </c>
      <c r="C57" s="180"/>
      <c r="D57" s="145"/>
      <c r="E57" s="145"/>
      <c r="F57" s="145"/>
      <c r="G57" s="145"/>
      <c r="H57" s="145"/>
      <c r="J57" s="361" t="e" vm="1">
        <v>#VALUE!</v>
      </c>
      <c r="K57" s="362">
        <v>0.78</v>
      </c>
      <c r="L57" s="361">
        <v>0.41</v>
      </c>
      <c r="AM57" s="1">
        <v>13076910.000000002</v>
      </c>
      <c r="AN57" s="1">
        <v>14515370.100000003</v>
      </c>
      <c r="AO57" s="1">
        <v>16112060.811000004</v>
      </c>
      <c r="AP57" s="1">
        <v>17884387.500210006</v>
      </c>
      <c r="AQ57" s="1">
        <v>19851670.125233106</v>
      </c>
      <c r="AR57" s="1">
        <v>21638320.438983653</v>
      </c>
      <c r="AS57" s="1">
        <v>23369386.07410235</v>
      </c>
      <c r="AT57" s="1">
        <v>25005243.09928951</v>
      </c>
      <c r="AU57" s="1">
        <v>26505557.685246885</v>
      </c>
      <c r="AV57" s="1">
        <v>27830835.569509234</v>
      </c>
      <c r="AY57" s="145" t="s">
        <v>246</v>
      </c>
      <c r="AZ57" s="411">
        <f>23369386.0741023/1000</f>
        <v>23369.386074102302</v>
      </c>
    </row>
    <row r="58" spans="2:67" x14ac:dyDescent="0.25">
      <c r="B58" s="145" t="s">
        <v>307</v>
      </c>
      <c r="C58" s="180"/>
      <c r="D58" s="182">
        <v>0.01</v>
      </c>
      <c r="E58" s="182">
        <v>1.4999999999999999E-2</v>
      </c>
      <c r="F58" s="182">
        <v>0.02</v>
      </c>
      <c r="G58" s="182">
        <v>2.5000000000000001E-2</v>
      </c>
      <c r="H58" s="182">
        <v>0.03</v>
      </c>
      <c r="J58" s="361" t="e" vm="2">
        <v>#VALUE!</v>
      </c>
      <c r="K58" s="362">
        <v>0.75</v>
      </c>
      <c r="L58" s="361">
        <v>0.32</v>
      </c>
      <c r="AY58" s="145" t="s">
        <v>247</v>
      </c>
      <c r="AZ58" s="411">
        <f>25005243.0992895/1000</f>
        <v>25005.243099289499</v>
      </c>
    </row>
    <row r="59" spans="2:67" x14ac:dyDescent="0.25">
      <c r="B59" s="145" t="s">
        <v>301</v>
      </c>
      <c r="C59" s="180">
        <f>R39</f>
        <v>95.452695437887868</v>
      </c>
      <c r="D59" s="279">
        <f t="dataTable" ref="D59:H59" dt2D="0" dtr="1" r1="R23" ca="1"/>
        <v>55.893356514083258</v>
      </c>
      <c r="E59" s="279">
        <v>67.861329093354925</v>
      </c>
      <c r="F59" s="279">
        <v>83.513408575197374</v>
      </c>
      <c r="G59" s="279">
        <v>104.86017446819913</v>
      </c>
      <c r="H59" s="279">
        <v>135.70054765074974</v>
      </c>
      <c r="J59" s="361" t="e" vm="3">
        <v>#VALUE!</v>
      </c>
      <c r="K59" s="362">
        <v>0.43</v>
      </c>
      <c r="L59" s="361">
        <v>0.21</v>
      </c>
      <c r="AY59" s="145" t="s">
        <v>248</v>
      </c>
      <c r="AZ59" s="411">
        <f>26505557.6852469/1000</f>
        <v>26505.557685246898</v>
      </c>
    </row>
    <row r="60" spans="2:67" x14ac:dyDescent="0.25">
      <c r="C60" s="39"/>
      <c r="J60" s="361" t="s">
        <v>308</v>
      </c>
      <c r="K60" s="362">
        <v>0.47</v>
      </c>
      <c r="L60" s="361">
        <v>0.24</v>
      </c>
      <c r="AY60" s="145" t="s">
        <v>249</v>
      </c>
      <c r="AZ60" s="411">
        <f>27830835.5695092/1000</f>
        <v>27830.8355695092</v>
      </c>
    </row>
    <row r="61" spans="2:67" ht="15.6" x14ac:dyDescent="0.3">
      <c r="B61" s="153" t="s">
        <v>309</v>
      </c>
      <c r="C61" s="145"/>
      <c r="D61" s="145"/>
      <c r="E61" s="145"/>
      <c r="F61" s="145"/>
      <c r="G61" s="145"/>
      <c r="H61" s="145"/>
      <c r="J61" s="361"/>
      <c r="K61" s="362"/>
      <c r="L61" s="361"/>
    </row>
    <row r="62" spans="2:67" x14ac:dyDescent="0.25">
      <c r="B62" s="145" t="s">
        <v>310</v>
      </c>
      <c r="C62" s="145"/>
      <c r="D62" s="182">
        <v>0.09</v>
      </c>
      <c r="E62" s="182">
        <v>0.1</v>
      </c>
      <c r="F62" s="182">
        <v>0.11</v>
      </c>
      <c r="G62" s="182">
        <v>0.12</v>
      </c>
      <c r="H62" s="182">
        <v>0.13</v>
      </c>
      <c r="J62" s="361"/>
      <c r="K62" s="362">
        <f>AVERAGE(K57:K60)</f>
        <v>0.60749999999999993</v>
      </c>
      <c r="L62" s="361">
        <f>AVERAGE(L57:L60)</f>
        <v>0.29499999999999998</v>
      </c>
    </row>
    <row r="63" spans="2:67" x14ac:dyDescent="0.25">
      <c r="B63" s="145" t="s">
        <v>311</v>
      </c>
      <c r="C63" s="180">
        <f>R39</f>
        <v>95.452695437887868</v>
      </c>
      <c r="D63" s="180">
        <f t="dataTable" ref="D63:H63" dt2D="0" dtr="1" r1="C65" ca="1"/>
        <v>89.958974691288645</v>
      </c>
      <c r="E63" s="180">
        <v>92.670934848164833</v>
      </c>
      <c r="F63" s="180">
        <v>95.452695437887868</v>
      </c>
      <c r="G63" s="180">
        <v>98.305736285682343</v>
      </c>
      <c r="H63" s="180">
        <v>101.23155916185813</v>
      </c>
      <c r="J63" s="361" t="s">
        <v>312</v>
      </c>
      <c r="K63" s="361">
        <v>6</v>
      </c>
      <c r="L63" s="361"/>
    </row>
    <row r="64" spans="2:67" x14ac:dyDescent="0.25">
      <c r="BJ64" s="1">
        <v>9970000</v>
      </c>
      <c r="BK64" s="1">
        <v>10860000</v>
      </c>
      <c r="BL64" s="1">
        <v>12520000</v>
      </c>
      <c r="BM64" s="1">
        <v>13649000</v>
      </c>
      <c r="BN64" s="1">
        <v>11303000</v>
      </c>
      <c r="BO64" s="1">
        <v>11871000</v>
      </c>
    </row>
    <row r="65" spans="2:52" ht="15.6" x14ac:dyDescent="0.3">
      <c r="B65" s="16" t="s">
        <v>313</v>
      </c>
      <c r="C65" s="184">
        <v>0.11</v>
      </c>
    </row>
    <row r="67" spans="2:52" x14ac:dyDescent="0.25">
      <c r="AY67" s="145" t="s">
        <v>274</v>
      </c>
      <c r="AZ67" s="145" t="s">
        <v>314</v>
      </c>
    </row>
    <row r="68" spans="2:52" x14ac:dyDescent="0.25">
      <c r="AY68" s="145" t="s">
        <v>215</v>
      </c>
      <c r="AZ68" s="412">
        <v>0.11</v>
      </c>
    </row>
    <row r="69" spans="2:52" x14ac:dyDescent="0.25">
      <c r="AY69" s="145" t="s">
        <v>216</v>
      </c>
      <c r="AZ69" s="412">
        <v>0.11</v>
      </c>
    </row>
    <row r="70" spans="2:52" x14ac:dyDescent="0.25">
      <c r="AY70" s="145" t="s">
        <v>242</v>
      </c>
      <c r="AZ70" s="412">
        <v>0.11</v>
      </c>
    </row>
    <row r="71" spans="2:52" x14ac:dyDescent="0.25">
      <c r="AY71" s="145" t="s">
        <v>243</v>
      </c>
      <c r="AZ71" s="412">
        <v>0.11</v>
      </c>
    </row>
    <row r="72" spans="2:52" x14ac:dyDescent="0.25">
      <c r="AY72" s="145" t="s">
        <v>244</v>
      </c>
      <c r="AZ72" s="412">
        <v>0.11</v>
      </c>
    </row>
    <row r="73" spans="2:52" x14ac:dyDescent="0.25">
      <c r="AY73" s="145" t="s">
        <v>245</v>
      </c>
      <c r="AZ73" s="412">
        <v>0.09</v>
      </c>
    </row>
    <row r="74" spans="2:52" x14ac:dyDescent="0.25">
      <c r="AY74" s="145" t="s">
        <v>246</v>
      </c>
      <c r="AZ74" s="412">
        <v>0.08</v>
      </c>
    </row>
    <row r="75" spans="2:52" ht="15.6" x14ac:dyDescent="0.3">
      <c r="B75" s="16"/>
      <c r="C75" s="39"/>
      <c r="AY75" s="145" t="s">
        <v>247</v>
      </c>
      <c r="AZ75" s="412">
        <v>7.0000000000000007E-2</v>
      </c>
    </row>
    <row r="76" spans="2:52" x14ac:dyDescent="0.25">
      <c r="C76" s="39"/>
      <c r="D76" s="135"/>
      <c r="E76" s="135"/>
      <c r="F76" s="135"/>
      <c r="G76" s="135"/>
      <c r="H76" s="135"/>
      <c r="AY76" s="145" t="s">
        <v>248</v>
      </c>
      <c r="AZ76" s="412">
        <v>0.06</v>
      </c>
    </row>
    <row r="77" spans="2:52" x14ac:dyDescent="0.25">
      <c r="C77" s="39"/>
      <c r="D77" s="397"/>
      <c r="E77" s="397"/>
      <c r="F77" s="397"/>
      <c r="G77" s="397"/>
      <c r="H77" s="397"/>
      <c r="AY77" s="145" t="s">
        <v>249</v>
      </c>
      <c r="AZ77" s="412">
        <v>0.05</v>
      </c>
    </row>
  </sheetData>
  <mergeCells count="1">
    <mergeCell ref="C33:C37"/>
  </mergeCells>
  <pageMargins left="0.7" right="0.7" top="0.75" bottom="0.75" header="0.3" footer="0.3"/>
  <pageSetup scale="25"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91D46D-BD54-4D13-9A22-A53A23A7B4B8}">
  <sheetPr>
    <pageSetUpPr fitToPage="1"/>
  </sheetPr>
  <dimension ref="B1:BJ2517"/>
  <sheetViews>
    <sheetView showGridLines="0" view="pageLayout" topLeftCell="F1" zoomScale="60" zoomScaleNormal="75" zoomScaleSheetLayoutView="10" zoomScalePageLayoutView="60" workbookViewId="0">
      <selection activeCell="AH101" sqref="AH101"/>
    </sheetView>
  </sheetViews>
  <sheetFormatPr defaultColWidth="9.109375" defaultRowHeight="15.6" x14ac:dyDescent="0.3"/>
  <cols>
    <col min="1" max="1" width="2.6640625" style="1" customWidth="1"/>
    <col min="2" max="2" width="30.6640625" style="1" customWidth="1"/>
    <col min="3" max="3" width="19.88671875" style="1" customWidth="1"/>
    <col min="4" max="4" width="19" style="1" customWidth="1"/>
    <col min="5" max="5" width="18.33203125" style="1" customWidth="1"/>
    <col min="6" max="6" width="23.6640625" style="1" customWidth="1"/>
    <col min="7" max="7" width="20.6640625" style="1" customWidth="1"/>
    <col min="8" max="8" width="18.33203125" style="1" customWidth="1"/>
    <col min="9" max="9" width="28" style="1" customWidth="1"/>
    <col min="10" max="10" width="29.109375" style="1" customWidth="1"/>
    <col min="11" max="11" width="23.44140625" style="1" customWidth="1"/>
    <col min="12" max="12" width="19.88671875" style="1" customWidth="1"/>
    <col min="14" max="15" width="15.6640625" style="1" customWidth="1"/>
    <col min="16" max="16" width="26.44140625" style="1" customWidth="1"/>
    <col min="17" max="20" width="15.6640625" style="1" customWidth="1"/>
    <col min="21" max="21" width="15.44140625" style="1" customWidth="1"/>
    <col min="22" max="23" width="31.33203125" style="1" customWidth="1"/>
    <col min="24" max="24" width="3" style="1" customWidth="1"/>
    <col min="25" max="25" width="4.44140625" style="1" customWidth="1"/>
    <col min="26" max="26" width="11.109375" style="1" customWidth="1"/>
    <col min="27" max="27" width="12.88671875" style="1" customWidth="1"/>
    <col min="28" max="28" width="13.33203125" style="1" customWidth="1"/>
    <col min="29" max="29" width="23.88671875" style="1" customWidth="1"/>
    <col min="30" max="30" width="11.109375" style="1" customWidth="1"/>
    <col min="31" max="31" width="11.21875" style="1" customWidth="1"/>
    <col min="32" max="33" width="20.6640625" style="1" customWidth="1"/>
    <col min="34" max="34" width="17.6640625" style="1" customWidth="1"/>
    <col min="35" max="35" width="20.88671875" style="1" customWidth="1"/>
    <col min="36" max="36" width="18.109375" style="1" customWidth="1"/>
    <col min="37" max="38" width="19.88671875" style="1" customWidth="1"/>
    <col min="39" max="39" width="17.6640625" style="1" customWidth="1"/>
    <col min="40" max="40" width="19.44140625" style="1" customWidth="1"/>
    <col min="41" max="41" width="21.44140625" style="1" customWidth="1"/>
    <col min="42" max="42" width="2.6640625" style="1" customWidth="1"/>
    <col min="43" max="43" width="9.109375" style="1"/>
    <col min="44" max="44" width="16.44140625" style="1" customWidth="1"/>
    <col min="45" max="47" width="9.109375" style="1"/>
    <col min="48" max="48" width="14.88671875" style="1" customWidth="1"/>
    <col min="49" max="49" width="9.109375" style="1"/>
    <col min="50" max="50" width="17" style="1" customWidth="1"/>
    <col min="51" max="51" width="16.88671875" style="1" customWidth="1"/>
    <col min="52" max="52" width="15.6640625" style="1" customWidth="1"/>
    <col min="53" max="53" width="20.88671875" style="1" customWidth="1"/>
    <col min="54" max="54" width="22.44140625" style="1" customWidth="1"/>
    <col min="55" max="55" width="20" style="1" customWidth="1"/>
    <col min="56" max="56" width="9.109375" style="1"/>
    <col min="57" max="57" width="17" style="1" customWidth="1"/>
    <col min="58" max="58" width="18.88671875" style="1" customWidth="1"/>
    <col min="59" max="59" width="15.88671875" style="1" customWidth="1"/>
    <col min="60" max="60" width="17.109375" style="1" customWidth="1"/>
    <col min="61" max="61" width="17.33203125" style="1" customWidth="1"/>
    <col min="62" max="62" width="16.109375" style="1" customWidth="1"/>
    <col min="63" max="16384" width="9.109375" style="1"/>
  </cols>
  <sheetData>
    <row r="1" spans="2:58" x14ac:dyDescent="0.3">
      <c r="AO1" s="2"/>
    </row>
    <row r="2" spans="2:58" x14ac:dyDescent="0.3">
      <c r="AO2" s="2"/>
    </row>
    <row r="3" spans="2:58" ht="15.9" customHeight="1" x14ac:dyDescent="0.3">
      <c r="B3" s="28" t="s">
        <v>315</v>
      </c>
      <c r="C3" s="28"/>
      <c r="D3" s="28"/>
      <c r="E3" s="28"/>
      <c r="F3" s="28"/>
      <c r="G3" s="28"/>
      <c r="H3" s="28"/>
      <c r="I3" s="28"/>
      <c r="J3" s="28"/>
      <c r="K3" s="28"/>
      <c r="L3" s="28"/>
      <c r="M3" s="224"/>
      <c r="N3" s="28"/>
      <c r="O3" s="28"/>
      <c r="P3" s="28"/>
      <c r="Q3" s="245"/>
      <c r="R3" s="245"/>
      <c r="S3" s="245"/>
      <c r="T3" s="245"/>
      <c r="V3" s="28" t="s">
        <v>316</v>
      </c>
      <c r="W3" s="28"/>
      <c r="X3" s="28"/>
      <c r="Y3" s="28"/>
      <c r="Z3" s="28"/>
      <c r="AA3" s="28"/>
      <c r="AB3" s="28"/>
      <c r="AC3" s="28"/>
      <c r="AD3" s="28"/>
      <c r="AE3" s="28"/>
      <c r="AF3" s="28"/>
      <c r="AG3" s="28"/>
      <c r="AH3" s="28"/>
      <c r="AI3" s="28"/>
      <c r="AJ3" s="28"/>
      <c r="AK3" s="28"/>
      <c r="AL3" s="28"/>
      <c r="AM3" s="28"/>
      <c r="AN3" s="28"/>
      <c r="AO3" s="28"/>
      <c r="AU3" s="455"/>
      <c r="AV3" s="456"/>
      <c r="AW3" s="456"/>
      <c r="AX3" s="456"/>
      <c r="AY3" s="456"/>
      <c r="AZ3" s="456"/>
      <c r="BA3" s="456"/>
      <c r="BB3" s="456"/>
      <c r="BC3" s="456"/>
      <c r="BD3" s="456"/>
      <c r="BE3" s="456"/>
      <c r="BF3" s="456"/>
    </row>
    <row r="4" spans="2:58" x14ac:dyDescent="0.3">
      <c r="N4" s="367" t="s">
        <v>317</v>
      </c>
      <c r="O4" s="367"/>
      <c r="P4" s="367"/>
      <c r="Q4" s="37"/>
      <c r="R4" s="37"/>
      <c r="S4" s="37"/>
      <c r="T4" s="37"/>
      <c r="AO4" s="2"/>
    </row>
    <row r="5" spans="2:58" x14ac:dyDescent="0.3">
      <c r="B5" s="247"/>
      <c r="C5" s="206" t="s">
        <v>215</v>
      </c>
      <c r="D5" s="205">
        <v>2027</v>
      </c>
      <c r="E5" s="205">
        <v>2028</v>
      </c>
      <c r="F5" s="205">
        <v>2029</v>
      </c>
      <c r="G5" s="204" t="s">
        <v>244</v>
      </c>
      <c r="H5" s="204" t="s">
        <v>245</v>
      </c>
      <c r="I5" s="204" t="s">
        <v>246</v>
      </c>
      <c r="J5" s="204" t="s">
        <v>247</v>
      </c>
      <c r="K5" s="204">
        <v>2034</v>
      </c>
      <c r="L5" s="204" t="s">
        <v>249</v>
      </c>
      <c r="N5" s="208" t="s">
        <v>318</v>
      </c>
      <c r="O5" s="208" t="s">
        <v>319</v>
      </c>
      <c r="P5" s="203" t="s">
        <v>320</v>
      </c>
      <c r="Q5" s="203"/>
      <c r="R5" s="203"/>
      <c r="S5" s="203"/>
      <c r="T5" s="203"/>
      <c r="V5" s="248"/>
      <c r="W5" s="248"/>
      <c r="X5" s="248"/>
      <c r="Y5" s="248"/>
      <c r="Z5" s="248"/>
      <c r="AA5" s="248"/>
      <c r="AB5" s="248"/>
      <c r="AC5" s="202"/>
      <c r="AD5" s="202"/>
      <c r="AE5" s="202"/>
      <c r="AF5" s="202"/>
      <c r="AG5" s="202"/>
      <c r="AH5" s="202">
        <v>2020</v>
      </c>
      <c r="AI5" s="202">
        <v>2021</v>
      </c>
      <c r="AJ5" s="202">
        <v>2022</v>
      </c>
      <c r="AK5" s="202">
        <v>2023</v>
      </c>
      <c r="AL5" s="202">
        <v>2024</v>
      </c>
      <c r="AM5" s="202" t="s">
        <v>321</v>
      </c>
      <c r="AN5" s="201" t="s">
        <v>317</v>
      </c>
    </row>
    <row r="6" spans="2:58" x14ac:dyDescent="0.3">
      <c r="C6" s="33"/>
      <c r="D6" s="33"/>
      <c r="E6" s="33"/>
      <c r="F6" s="33"/>
      <c r="G6" s="33"/>
      <c r="H6" s="33"/>
      <c r="I6" s="33"/>
      <c r="J6" s="33"/>
      <c r="K6" s="33"/>
      <c r="L6" s="33"/>
      <c r="V6" s="249" t="s">
        <v>252</v>
      </c>
      <c r="W6" s="249"/>
      <c r="X6" s="249"/>
      <c r="Y6" s="249"/>
      <c r="Z6" s="249"/>
      <c r="AA6" s="249"/>
      <c r="AB6" s="249"/>
      <c r="AC6" s="38"/>
      <c r="AD6" s="38"/>
      <c r="AE6" s="38"/>
      <c r="AF6" s="38"/>
      <c r="AG6" s="38"/>
      <c r="AH6" s="38">
        <f>'historicals + revenue split '!C7</f>
        <v>9970000</v>
      </c>
      <c r="AI6" s="38">
        <f>'historicals + revenue split '!D7</f>
        <v>10860000</v>
      </c>
      <c r="AJ6" s="38">
        <f>'historicals + revenue split '!E7</f>
        <v>12520000</v>
      </c>
      <c r="AK6" s="38">
        <f>'historicals + revenue split '!F7</f>
        <v>13649000</v>
      </c>
      <c r="AL6" s="38">
        <f>'historicals + revenue split '!G7</f>
        <v>11303000</v>
      </c>
      <c r="AM6" s="38">
        <f>11871*1000</f>
        <v>11871000</v>
      </c>
      <c r="AN6" s="250">
        <f>(AM6/AH6)^(1/5) - 1</f>
        <v>3.5519852346921788E-2</v>
      </c>
    </row>
    <row r="7" spans="2:58" x14ac:dyDescent="0.3">
      <c r="B7" s="249" t="s">
        <v>252</v>
      </c>
      <c r="C7" s="251">
        <f>'Forecasting '!C4</f>
        <v>13076910.001498502</v>
      </c>
      <c r="D7" s="251">
        <f>'Forecasting '!D4</f>
        <v>14515370.101663338</v>
      </c>
      <c r="E7" s="251">
        <f>'Forecasting '!E4</f>
        <v>16112060.812846309</v>
      </c>
      <c r="F7" s="251">
        <f>'Forecasting '!F4</f>
        <v>17884387.502259403</v>
      </c>
      <c r="G7" s="251">
        <f>'Forecasting '!G4</f>
        <v>19851670.12750794</v>
      </c>
      <c r="H7" s="38">
        <f>'Forecasting '!H4</f>
        <v>21638320.438983653</v>
      </c>
      <c r="I7" s="38">
        <f>'Forecasting '!I4</f>
        <v>23369386.07410235</v>
      </c>
      <c r="J7" s="38">
        <f>'Forecasting '!J4</f>
        <v>25005243.09928951</v>
      </c>
      <c r="K7" s="38">
        <f>'Forecasting '!K4</f>
        <v>26505557.685246885</v>
      </c>
      <c r="L7" s="38">
        <f>'Forecasting '!L4</f>
        <v>27830835.569509234</v>
      </c>
      <c r="N7" s="200">
        <v>0.11</v>
      </c>
      <c r="O7" s="199">
        <f>(G7/D7)^(1/3)-1</f>
        <v>0.1100000000000001</v>
      </c>
      <c r="P7" s="199">
        <f>(L7/G7)^(1/5)-1</f>
        <v>6.9906532258503518E-2</v>
      </c>
      <c r="Q7" s="239"/>
      <c r="R7" s="239"/>
      <c r="S7" s="239"/>
      <c r="T7" s="239"/>
      <c r="V7" s="198" t="s">
        <v>322</v>
      </c>
      <c r="W7" s="198"/>
      <c r="X7" s="198"/>
      <c r="Y7" s="198"/>
      <c r="Z7" s="198"/>
      <c r="AA7" s="198"/>
      <c r="AB7" s="198"/>
      <c r="AC7" s="197"/>
      <c r="AD7" s="188"/>
      <c r="AE7" s="188"/>
      <c r="AF7" s="188"/>
      <c r="AG7" s="188"/>
      <c r="AH7" s="188"/>
      <c r="AI7" s="265">
        <f>AI6/AH6-1</f>
        <v>8.9267803410230773E-2</v>
      </c>
      <c r="AJ7" s="265">
        <f>AJ6/AI6-1</f>
        <v>0.15285451197053401</v>
      </c>
      <c r="AK7" s="265">
        <f>AK6/AJ6-1</f>
        <v>9.0175718849840214E-2</v>
      </c>
      <c r="AL7" s="265">
        <f t="shared" ref="AL7:AM7" si="0">AL6/AK6-1</f>
        <v>-0.17188072386255404</v>
      </c>
      <c r="AM7" s="265">
        <f t="shared" si="0"/>
        <v>5.0252145448111074E-2</v>
      </c>
      <c r="AN7" s="196"/>
      <c r="AW7" s="219"/>
    </row>
    <row r="8" spans="2:58" x14ac:dyDescent="0.3">
      <c r="B8" s="198" t="s">
        <v>322</v>
      </c>
      <c r="C8" s="188"/>
      <c r="D8" s="188">
        <f t="shared" ref="D8:L8" si="1">(D7/C7)-1</f>
        <v>0.1100000000000001</v>
      </c>
      <c r="E8" s="188">
        <f t="shared" si="1"/>
        <v>0.11000000000000032</v>
      </c>
      <c r="F8" s="188">
        <f t="shared" si="1"/>
        <v>0.1100000000000001</v>
      </c>
      <c r="G8" s="188">
        <f t="shared" si="1"/>
        <v>0.1100000000000001</v>
      </c>
      <c r="H8" s="188">
        <f t="shared" si="1"/>
        <v>8.9999999999999858E-2</v>
      </c>
      <c r="I8" s="188">
        <f t="shared" si="1"/>
        <v>8.0000000000000293E-2</v>
      </c>
      <c r="J8" s="188">
        <f t="shared" si="1"/>
        <v>6.999999999999984E-2</v>
      </c>
      <c r="K8" s="188">
        <f t="shared" si="1"/>
        <v>6.0000000000000053E-2</v>
      </c>
      <c r="L8" s="188">
        <f t="shared" si="1"/>
        <v>5.0000000000000266E-2</v>
      </c>
      <c r="Q8" s="246"/>
      <c r="R8" s="246"/>
      <c r="S8" s="246"/>
      <c r="T8" s="246"/>
      <c r="V8" s="1" t="s">
        <v>323</v>
      </c>
      <c r="AC8" s="2"/>
      <c r="AD8" s="2"/>
      <c r="AE8" s="2"/>
      <c r="AF8" s="2"/>
      <c r="AG8" s="2"/>
      <c r="AH8" s="252">
        <v>6596000</v>
      </c>
      <c r="AI8" s="252">
        <v>7544000</v>
      </c>
      <c r="AJ8" s="252">
        <v>8921000</v>
      </c>
      <c r="AK8" s="252">
        <v>10229000</v>
      </c>
      <c r="AL8" s="252">
        <v>7679000</v>
      </c>
      <c r="AM8" s="252">
        <v>7679000</v>
      </c>
      <c r="AN8" s="437">
        <f>(AM8/AH8)^(1/5)-1</f>
        <v>3.0872143406890151E-2</v>
      </c>
      <c r="AW8" s="1" t="s">
        <v>178</v>
      </c>
    </row>
    <row r="9" spans="2:58" x14ac:dyDescent="0.3">
      <c r="C9" s="33"/>
      <c r="D9" s="33"/>
      <c r="E9" s="33"/>
      <c r="F9" s="33"/>
      <c r="G9" s="33"/>
      <c r="H9" s="33"/>
      <c r="I9" s="33"/>
      <c r="J9" s="33"/>
      <c r="K9" s="33"/>
      <c r="L9" s="33"/>
      <c r="Q9" s="246"/>
      <c r="R9" s="246"/>
      <c r="S9" s="246"/>
      <c r="T9" s="246"/>
      <c r="V9" s="249" t="s">
        <v>258</v>
      </c>
      <c r="W9" s="249"/>
      <c r="X9" s="249"/>
      <c r="Y9" s="249"/>
      <c r="Z9" s="249"/>
      <c r="AA9" s="249"/>
      <c r="AB9" s="249"/>
      <c r="AC9" s="38"/>
      <c r="AD9" s="38"/>
      <c r="AE9" s="38"/>
      <c r="AF9" s="38"/>
      <c r="AG9" s="38"/>
      <c r="AH9" s="38">
        <f t="shared" ref="AH9:AM9" si="2">AH6-AH8</f>
        <v>3374000</v>
      </c>
      <c r="AI9" s="38">
        <f t="shared" si="2"/>
        <v>3316000</v>
      </c>
      <c r="AJ9" s="38">
        <f t="shared" si="2"/>
        <v>3599000</v>
      </c>
      <c r="AK9" s="38">
        <f t="shared" si="2"/>
        <v>3420000</v>
      </c>
      <c r="AL9" s="38">
        <f t="shared" si="2"/>
        <v>3624000</v>
      </c>
      <c r="AM9" s="38">
        <f t="shared" si="2"/>
        <v>4192000</v>
      </c>
      <c r="AN9" s="250">
        <f>(AM9/AH9)^(1/5)-1</f>
        <v>4.4372046732531478E-2</v>
      </c>
    </row>
    <row r="10" spans="2:58" x14ac:dyDescent="0.3">
      <c r="B10" s="1" t="s">
        <v>256</v>
      </c>
      <c r="C10" s="33">
        <f>AM8*(1+N10)</f>
        <v>7909370</v>
      </c>
      <c r="D10" s="33">
        <f>C10*(1+N10)</f>
        <v>8146651.1000000006</v>
      </c>
      <c r="E10" s="33">
        <f t="shared" ref="E10:L10" si="3">D10*(1+$O$10)</f>
        <v>8350317.3774999995</v>
      </c>
      <c r="F10" s="33">
        <f t="shared" si="3"/>
        <v>8559075.3119374979</v>
      </c>
      <c r="G10" s="33">
        <f t="shared" si="3"/>
        <v>8773052.194735935</v>
      </c>
      <c r="H10" s="33">
        <f t="shared" si="3"/>
        <v>8992378.4996043332</v>
      </c>
      <c r="I10" s="33">
        <f t="shared" si="3"/>
        <v>9217187.9620944411</v>
      </c>
      <c r="J10" s="33">
        <f t="shared" si="3"/>
        <v>9447617.661146801</v>
      </c>
      <c r="K10" s="33">
        <f t="shared" si="3"/>
        <v>9683808.1026754696</v>
      </c>
      <c r="L10" s="33">
        <f t="shared" si="3"/>
        <v>9925903.3052423559</v>
      </c>
      <c r="N10" s="254">
        <v>0.03</v>
      </c>
      <c r="O10" s="254">
        <v>2.5000000000000001E-2</v>
      </c>
      <c r="P10" s="254">
        <f>(L10/G10)^(1/5)-1</f>
        <v>2.4999999999999911E-2</v>
      </c>
      <c r="Q10" s="255"/>
      <c r="R10" s="255"/>
      <c r="S10" s="255"/>
      <c r="T10" s="255"/>
      <c r="V10" s="198" t="s">
        <v>264</v>
      </c>
      <c r="W10" s="198"/>
      <c r="X10" s="198"/>
      <c r="Y10" s="198"/>
      <c r="Z10" s="198"/>
      <c r="AA10" s="198"/>
      <c r="AB10" s="198"/>
      <c r="AC10" s="188"/>
      <c r="AD10" s="188"/>
      <c r="AE10" s="188"/>
      <c r="AF10" s="188"/>
      <c r="AG10" s="188"/>
      <c r="AH10" s="188">
        <f t="shared" ref="AH10:AM10" si="4">(AH9/AH6)</f>
        <v>0.33841524573721166</v>
      </c>
      <c r="AI10" s="188">
        <f t="shared" si="4"/>
        <v>0.30534069981583795</v>
      </c>
      <c r="AJ10" s="188">
        <f t="shared" si="4"/>
        <v>0.28746006389776357</v>
      </c>
      <c r="AK10" s="188">
        <f t="shared" si="4"/>
        <v>0.25056780716536009</v>
      </c>
      <c r="AL10" s="188">
        <f t="shared" si="4"/>
        <v>0.32062284349287801</v>
      </c>
      <c r="AM10" s="188">
        <f t="shared" si="4"/>
        <v>0.3531294751916435</v>
      </c>
      <c r="AN10" s="196"/>
    </row>
    <row r="11" spans="2:58" x14ac:dyDescent="0.3">
      <c r="B11" s="249" t="s">
        <v>258</v>
      </c>
      <c r="C11" s="38">
        <f t="shared" ref="C11:L11" si="5">C7-C10</f>
        <v>5167540.0014985017</v>
      </c>
      <c r="D11" s="38">
        <f t="shared" si="5"/>
        <v>6368719.0016633375</v>
      </c>
      <c r="E11" s="38">
        <f t="shared" si="5"/>
        <v>7761743.4353463091</v>
      </c>
      <c r="F11" s="38">
        <f t="shared" si="5"/>
        <v>9325312.1903219055</v>
      </c>
      <c r="G11" s="38">
        <f t="shared" si="5"/>
        <v>11078617.932772005</v>
      </c>
      <c r="H11" s="38">
        <f t="shared" si="5"/>
        <v>12645941.93937932</v>
      </c>
      <c r="I11" s="38">
        <f t="shared" si="5"/>
        <v>14152198.112007909</v>
      </c>
      <c r="J11" s="38">
        <f t="shared" si="5"/>
        <v>15557625.438142709</v>
      </c>
      <c r="K11" s="38">
        <f t="shared" si="5"/>
        <v>16821749.582571417</v>
      </c>
      <c r="L11" s="38">
        <f t="shared" si="5"/>
        <v>17904932.264266878</v>
      </c>
      <c r="N11" s="250">
        <f>(D11/AM9)^(1/2)-1</f>
        <v>0.2325808237344964</v>
      </c>
      <c r="O11" s="256">
        <f>(G11/D11)^(1/3)-1</f>
        <v>0.20266452067500174</v>
      </c>
      <c r="P11" s="256">
        <f>(L11/G11)^(1/5)-1</f>
        <v>0.10077211514438811</v>
      </c>
      <c r="Q11" s="257"/>
      <c r="R11" s="257"/>
      <c r="S11" s="257"/>
      <c r="T11" s="257"/>
      <c r="V11" s="1" t="s">
        <v>324</v>
      </c>
      <c r="AC11" s="2"/>
      <c r="AD11" s="2"/>
      <c r="AE11" s="2"/>
      <c r="AF11" s="2"/>
      <c r="AG11" s="2"/>
      <c r="AH11" s="252">
        <f>1768000*AH41</f>
        <v>1550304.3095866316</v>
      </c>
      <c r="AI11" s="252">
        <f>1922000*AI41</f>
        <v>1623467.3718596874</v>
      </c>
      <c r="AJ11" s="252">
        <f>2078000*AJ41</f>
        <v>1801825.6111919107</v>
      </c>
      <c r="AK11" s="252">
        <f>2333000*AK41</f>
        <v>1904492.6435406699</v>
      </c>
      <c r="AL11" s="252">
        <f>2538000*AL41</f>
        <v>2175731.0580204776</v>
      </c>
      <c r="AM11" s="252">
        <f>AL11*(1+AO11)*AM41</f>
        <v>1840143.1911823433</v>
      </c>
      <c r="AN11" s="253"/>
      <c r="AO11" s="288"/>
    </row>
    <row r="12" spans="2:58" x14ac:dyDescent="0.3">
      <c r="B12" s="198" t="s">
        <v>264</v>
      </c>
      <c r="C12" s="188">
        <f t="shared" ref="C12:L12" si="6">(C11/C7)</f>
        <v>0.39516521876393934</v>
      </c>
      <c r="D12" s="188">
        <f t="shared" si="6"/>
        <v>0.43875691470888067</v>
      </c>
      <c r="E12" s="188">
        <f t="shared" si="6"/>
        <v>0.48173498880775034</v>
      </c>
      <c r="F12" s="188">
        <f t="shared" si="6"/>
        <v>0.52142194912427409</v>
      </c>
      <c r="G12" s="188">
        <f t="shared" si="6"/>
        <v>0.55806981788502796</v>
      </c>
      <c r="H12" s="188">
        <f t="shared" si="6"/>
        <v>0.58442345259830608</v>
      </c>
      <c r="I12" s="188">
        <f t="shared" si="6"/>
        <v>0.60558707306783688</v>
      </c>
      <c r="J12" s="188">
        <f t="shared" si="6"/>
        <v>0.62217453261171285</v>
      </c>
      <c r="K12" s="188">
        <f t="shared" si="6"/>
        <v>0.63464990181793002</v>
      </c>
      <c r="L12" s="188">
        <f t="shared" si="6"/>
        <v>0.64334871367940794</v>
      </c>
      <c r="N12" s="195"/>
      <c r="O12" s="194"/>
      <c r="P12" s="194"/>
      <c r="Q12" s="240"/>
      <c r="R12" s="240"/>
      <c r="S12" s="240"/>
      <c r="T12" s="240"/>
      <c r="V12" s="249" t="s">
        <v>262</v>
      </c>
      <c r="W12" s="249"/>
      <c r="X12" s="249"/>
      <c r="Y12" s="249"/>
      <c r="Z12" s="249"/>
      <c r="AA12" s="249"/>
      <c r="AB12" s="249"/>
      <c r="AC12" s="38"/>
      <c r="AD12" s="38"/>
      <c r="AE12" s="38"/>
      <c r="AF12" s="38"/>
      <c r="AG12" s="38"/>
      <c r="AH12" s="38">
        <f t="shared" ref="AH12:AM12" si="7">AH9-AH11+AH19</f>
        <v>3291695.6904133684</v>
      </c>
      <c r="AI12" s="38">
        <f t="shared" si="7"/>
        <v>3308532.6281403126</v>
      </c>
      <c r="AJ12" s="38">
        <f t="shared" si="7"/>
        <v>3540174.3888080893</v>
      </c>
      <c r="AK12" s="38">
        <f t="shared" si="7"/>
        <v>3452507.3564593298</v>
      </c>
      <c r="AL12" s="38">
        <f t="shared" si="7"/>
        <v>3581268.9419795224</v>
      </c>
      <c r="AM12" s="38">
        <f t="shared" si="7"/>
        <v>4688856.8088176567</v>
      </c>
      <c r="AN12" s="250">
        <f>(AM12/AH12)^(1/5)-1</f>
        <v>7.3320583947635409E-2</v>
      </c>
    </row>
    <row r="13" spans="2:58" x14ac:dyDescent="0.3">
      <c r="C13" s="33"/>
      <c r="D13" s="33"/>
      <c r="E13" s="33"/>
      <c r="F13" s="33"/>
      <c r="G13" s="33"/>
      <c r="H13" s="33"/>
      <c r="I13" s="33"/>
      <c r="J13" s="33"/>
      <c r="K13" s="33"/>
      <c r="L13" s="33"/>
      <c r="N13" s="33"/>
      <c r="O13" s="33"/>
      <c r="P13" s="33"/>
      <c r="Q13" s="258"/>
      <c r="R13" s="258"/>
      <c r="S13" s="258"/>
      <c r="T13" s="258"/>
      <c r="V13" s="198" t="s">
        <v>322</v>
      </c>
      <c r="W13" s="198"/>
      <c r="X13" s="198"/>
      <c r="Y13" s="198"/>
      <c r="Z13" s="198"/>
      <c r="AA13" s="198"/>
      <c r="AB13" s="198"/>
      <c r="AC13" s="197"/>
      <c r="AD13" s="188"/>
      <c r="AE13" s="188"/>
      <c r="AF13" s="188"/>
      <c r="AG13" s="188"/>
      <c r="AH13" s="2"/>
      <c r="AI13" s="188">
        <f>AI12/AH12-1</f>
        <v>5.1149739558185026E-3</v>
      </c>
      <c r="AJ13" s="188">
        <f t="shared" ref="AJ13:AM13" si="8">AJ12/AI12-1</f>
        <v>7.0013443028361433E-2</v>
      </c>
      <c r="AK13" s="188">
        <f t="shared" si="8"/>
        <v>-2.4763478495836266E-2</v>
      </c>
      <c r="AL13" s="188">
        <f t="shared" si="8"/>
        <v>3.7295093746662511E-2</v>
      </c>
      <c r="AM13" s="188">
        <f t="shared" si="8"/>
        <v>0.30927246313590806</v>
      </c>
      <c r="AN13" s="196"/>
    </row>
    <row r="14" spans="2:58" x14ac:dyDescent="0.3">
      <c r="B14" s="1" t="s">
        <v>325</v>
      </c>
      <c r="C14" s="33">
        <f>100000*1.027</f>
        <v>102699.99999999999</v>
      </c>
      <c r="D14" s="33">
        <f t="shared" ref="D14:L14" si="9">C14*1.027</f>
        <v>105472.89999999998</v>
      </c>
      <c r="E14" s="33">
        <f t="shared" si="9"/>
        <v>108320.66829999998</v>
      </c>
      <c r="F14" s="33">
        <f t="shared" si="9"/>
        <v>111245.32634409997</v>
      </c>
      <c r="G14" s="33">
        <f t="shared" si="9"/>
        <v>114248.95015539066</v>
      </c>
      <c r="H14" s="33">
        <f t="shared" si="9"/>
        <v>117333.6718095862</v>
      </c>
      <c r="I14" s="33">
        <f t="shared" si="9"/>
        <v>120501.68094844502</v>
      </c>
      <c r="J14" s="33">
        <f t="shared" si="9"/>
        <v>123755.22633405302</v>
      </c>
      <c r="K14" s="33">
        <f t="shared" si="9"/>
        <v>127096.61744507244</v>
      </c>
      <c r="L14" s="33">
        <f t="shared" si="9"/>
        <v>130528.22611608938</v>
      </c>
      <c r="N14" s="254"/>
      <c r="O14" s="254"/>
      <c r="P14" s="254"/>
      <c r="Q14" s="255"/>
      <c r="R14" s="255"/>
      <c r="S14" s="255"/>
      <c r="T14" s="255"/>
      <c r="V14" s="198" t="s">
        <v>264</v>
      </c>
      <c r="W14" s="198"/>
      <c r="X14" s="198"/>
      <c r="Y14" s="198"/>
      <c r="Z14" s="198"/>
      <c r="AA14" s="198"/>
      <c r="AB14" s="198"/>
      <c r="AC14" s="188"/>
      <c r="AD14" s="188"/>
      <c r="AE14" s="188"/>
      <c r="AF14" s="188"/>
      <c r="AG14" s="188"/>
      <c r="AI14" s="188">
        <f>(AI$12-AH$12)/AH$12</f>
        <v>5.1149739558184523E-3</v>
      </c>
      <c r="AJ14" s="188">
        <f>(AJ$12-AI$12)/AI$12</f>
        <v>7.0013443028361433E-2</v>
      </c>
      <c r="AK14" s="188">
        <f>(AK$12-AJ$12)/AJ$12</f>
        <v>-2.4763478495836284E-2</v>
      </c>
      <c r="AL14" s="188">
        <f>(AL$12-AK$12)/AK$12</f>
        <v>3.7295093746662469E-2</v>
      </c>
      <c r="AM14" s="188">
        <f>(AM$12-AL$12)/AL$12</f>
        <v>0.30927246313590806</v>
      </c>
      <c r="AN14" s="196"/>
    </row>
    <row r="15" spans="2:58" x14ac:dyDescent="0.3">
      <c r="B15" s="249" t="s">
        <v>262</v>
      </c>
      <c r="C15" s="38">
        <f t="shared" ref="C15:L15" si="10">C11-C14</f>
        <v>5064840.0014985017</v>
      </c>
      <c r="D15" s="38">
        <f t="shared" si="10"/>
        <v>6263246.1016633371</v>
      </c>
      <c r="E15" s="38">
        <f t="shared" si="10"/>
        <v>7653422.7670463091</v>
      </c>
      <c r="F15" s="38">
        <f t="shared" si="10"/>
        <v>9214066.8639778048</v>
      </c>
      <c r="G15" s="38">
        <f t="shared" si="10"/>
        <v>10964368.982616615</v>
      </c>
      <c r="H15" s="38">
        <f t="shared" si="10"/>
        <v>12528608.267569734</v>
      </c>
      <c r="I15" s="38">
        <f t="shared" si="10"/>
        <v>14031696.431059463</v>
      </c>
      <c r="J15" s="38">
        <f t="shared" si="10"/>
        <v>15433870.211808657</v>
      </c>
      <c r="K15" s="38">
        <f t="shared" si="10"/>
        <v>16694652.965126345</v>
      </c>
      <c r="L15" s="38">
        <f t="shared" si="10"/>
        <v>17774404.038150787</v>
      </c>
      <c r="N15" s="250">
        <f>(D15/AM12)^(1/2)-1</f>
        <v>0.15575625699975126</v>
      </c>
      <c r="O15" s="256">
        <f>(G15/D15)^(1/3)-1</f>
        <v>0.20520628704749577</v>
      </c>
      <c r="P15" s="256">
        <f>(L15/G15)^(1/5)-1</f>
        <v>0.10144364404110173</v>
      </c>
      <c r="Q15" s="257"/>
      <c r="R15" s="257"/>
      <c r="S15" s="257"/>
      <c r="T15" s="257"/>
      <c r="AC15" s="2"/>
      <c r="AD15" s="2"/>
      <c r="AE15" s="2"/>
      <c r="AF15" s="2"/>
      <c r="AG15" s="2"/>
      <c r="AI15" s="2"/>
      <c r="AJ15" s="2"/>
      <c r="AK15" s="2"/>
      <c r="AL15" s="2"/>
      <c r="AM15" s="2"/>
      <c r="AN15" s="259"/>
    </row>
    <row r="16" spans="2:58" x14ac:dyDescent="0.3">
      <c r="B16" s="198" t="s">
        <v>322</v>
      </c>
      <c r="C16" s="188">
        <f>(C15/AM12)-1</f>
        <v>8.0186537574316041E-2</v>
      </c>
      <c r="D16" s="188">
        <f t="shared" ref="D16:L16" si="11">(D15/C15)-1</f>
        <v>0.23661282484940704</v>
      </c>
      <c r="E16" s="188">
        <f t="shared" si="11"/>
        <v>0.22195785425288994</v>
      </c>
      <c r="F16" s="188">
        <f t="shared" si="11"/>
        <v>0.20391452875845717</v>
      </c>
      <c r="G16" s="188">
        <f t="shared" si="11"/>
        <v>0.18995978046150053</v>
      </c>
      <c r="H16" s="188">
        <f t="shared" si="11"/>
        <v>0.14266569169946131</v>
      </c>
      <c r="I16" s="188">
        <f t="shared" si="11"/>
        <v>0.11997247670201872</v>
      </c>
      <c r="J16" s="188">
        <f t="shared" si="11"/>
        <v>9.992902765808509E-2</v>
      </c>
      <c r="K16" s="188">
        <f t="shared" si="11"/>
        <v>8.1689345317485396E-2</v>
      </c>
      <c r="L16" s="188">
        <f t="shared" si="11"/>
        <v>6.4676461096852211E-2</v>
      </c>
      <c r="N16" s="194"/>
      <c r="O16" s="194"/>
      <c r="P16" s="194"/>
      <c r="Q16" s="194"/>
      <c r="R16" s="194"/>
      <c r="S16" s="194"/>
      <c r="T16" s="194"/>
      <c r="V16" s="1" t="s">
        <v>326</v>
      </c>
      <c r="AC16" s="33"/>
      <c r="AD16" s="33"/>
      <c r="AE16" s="33"/>
      <c r="AF16" s="33"/>
      <c r="AG16" s="33"/>
      <c r="AH16" s="33"/>
      <c r="AI16" s="33"/>
      <c r="AJ16" s="33"/>
      <c r="AK16" s="33"/>
      <c r="AL16" s="33"/>
      <c r="AM16" s="33"/>
      <c r="AN16" s="260"/>
    </row>
    <row r="17" spans="2:62" x14ac:dyDescent="0.3">
      <c r="B17" s="198" t="s">
        <v>327</v>
      </c>
      <c r="C17" s="188">
        <f t="shared" ref="C17:L17" si="12">(C15/C7)</f>
        <v>0.38731168149953732</v>
      </c>
      <c r="D17" s="188">
        <f t="shared" si="12"/>
        <v>0.43149062392460957</v>
      </c>
      <c r="E17" s="188">
        <f t="shared" si="12"/>
        <v>0.47501203328032116</v>
      </c>
      <c r="F17" s="188">
        <f t="shared" si="12"/>
        <v>0.51520170108222918</v>
      </c>
      <c r="G17" s="188">
        <f t="shared" si="12"/>
        <v>0.55231468748937029</v>
      </c>
      <c r="H17" s="188">
        <f t="shared" si="12"/>
        <v>0.57900095817964514</v>
      </c>
      <c r="I17" s="188">
        <f t="shared" si="12"/>
        <v>0.60043068254194354</v>
      </c>
      <c r="J17" s="188">
        <f t="shared" si="12"/>
        <v>0.61722536151816854</v>
      </c>
      <c r="K17" s="188">
        <f t="shared" si="12"/>
        <v>0.6298548086923923</v>
      </c>
      <c r="L17" s="188">
        <f t="shared" si="12"/>
        <v>0.63865865592709614</v>
      </c>
      <c r="N17" s="194"/>
      <c r="O17" s="194">
        <v>0</v>
      </c>
      <c r="P17" s="194"/>
      <c r="Q17" s="194"/>
      <c r="R17" s="194"/>
      <c r="S17" s="194"/>
      <c r="T17" s="194"/>
      <c r="V17" s="249" t="s">
        <v>328</v>
      </c>
      <c r="W17" s="249"/>
      <c r="X17" s="249"/>
      <c r="Y17" s="249"/>
      <c r="Z17" s="249"/>
      <c r="AA17" s="249"/>
      <c r="AB17" s="249"/>
      <c r="AC17" s="38"/>
      <c r="AD17" s="38"/>
      <c r="AE17" s="38"/>
      <c r="AF17" s="38"/>
      <c r="AG17" s="38"/>
      <c r="AH17" s="38">
        <f t="shared" ref="AH17:AM17" si="13">AH12-AH19</f>
        <v>1823695.6904133684</v>
      </c>
      <c r="AI17" s="38">
        <f t="shared" si="13"/>
        <v>1692532.6281403126</v>
      </c>
      <c r="AJ17" s="38">
        <f t="shared" si="13"/>
        <v>1797174.3888080893</v>
      </c>
      <c r="AK17" s="38">
        <f t="shared" si="13"/>
        <v>1515507.3564593298</v>
      </c>
      <c r="AL17" s="38">
        <f t="shared" si="13"/>
        <v>1448268.9419795224</v>
      </c>
      <c r="AM17" s="38">
        <f t="shared" si="13"/>
        <v>2351856.8088176567</v>
      </c>
      <c r="AN17" s="250">
        <f>(AM17/AH17)^(1/5)-1</f>
        <v>5.2184018185766234E-2</v>
      </c>
    </row>
    <row r="18" spans="2:62" x14ac:dyDescent="0.3">
      <c r="B18" s="198"/>
      <c r="C18" s="188"/>
      <c r="D18" s="188"/>
      <c r="E18" s="188"/>
      <c r="F18" s="188"/>
      <c r="G18" s="188"/>
      <c r="H18" s="188"/>
      <c r="I18" s="188"/>
      <c r="J18" s="188"/>
      <c r="K18" s="188"/>
      <c r="L18" s="188"/>
      <c r="N18" s="194"/>
      <c r="O18" s="194"/>
      <c r="P18" s="194"/>
      <c r="Q18" s="194"/>
      <c r="R18" s="194"/>
      <c r="S18" s="194"/>
      <c r="T18" s="194"/>
      <c r="V18" s="249"/>
      <c r="W18" s="249"/>
      <c r="X18" s="249"/>
      <c r="Y18" s="249"/>
      <c r="Z18" s="249"/>
      <c r="AA18" s="249"/>
      <c r="AB18" s="249"/>
      <c r="AC18" s="38"/>
      <c r="AD18" s="38"/>
      <c r="AE18" s="38"/>
      <c r="AF18" s="38"/>
      <c r="AG18" s="38"/>
      <c r="AH18" s="38"/>
      <c r="AI18" s="38"/>
      <c r="AJ18" s="38"/>
      <c r="AK18" s="38"/>
      <c r="AL18" s="38"/>
      <c r="AM18" s="38"/>
      <c r="AN18" s="250"/>
    </row>
    <row r="19" spans="2:62" x14ac:dyDescent="0.3">
      <c r="B19" s="193" t="s">
        <v>266</v>
      </c>
      <c r="C19" s="192">
        <f>AM19*(1+N19)</f>
        <v>2617440.0000000005</v>
      </c>
      <c r="D19" s="192">
        <f>C19*(1+N19)</f>
        <v>2931532.8000000007</v>
      </c>
      <c r="E19" s="192">
        <f t="shared" ref="E19:L19" si="14">D19*(1+$O$19)</f>
        <v>3283316.736000001</v>
      </c>
      <c r="F19" s="192">
        <f t="shared" si="14"/>
        <v>3677314.7443200015</v>
      </c>
      <c r="G19" s="192">
        <f t="shared" si="14"/>
        <v>4118592.5136384019</v>
      </c>
      <c r="H19" s="192">
        <f t="shared" si="14"/>
        <v>4612823.6152750105</v>
      </c>
      <c r="I19" s="192">
        <f t="shared" si="14"/>
        <v>5166362.449108012</v>
      </c>
      <c r="J19" s="192">
        <f t="shared" si="14"/>
        <v>5786325.9430009741</v>
      </c>
      <c r="K19" s="192">
        <f t="shared" si="14"/>
        <v>6480685.0561610917</v>
      </c>
      <c r="L19" s="192">
        <f t="shared" si="14"/>
        <v>7258367.2629004233</v>
      </c>
      <c r="N19" s="191">
        <v>0.12</v>
      </c>
      <c r="O19" s="191">
        <v>0.12</v>
      </c>
      <c r="P19" s="191">
        <f>(L19/G19)^(1/5)-1</f>
        <v>0.12000000000000011</v>
      </c>
      <c r="Q19" s="191"/>
      <c r="R19" s="191"/>
      <c r="S19" s="191"/>
      <c r="T19" s="191"/>
      <c r="V19" s="249" t="s">
        <v>266</v>
      </c>
      <c r="W19" s="249"/>
      <c r="X19" s="249"/>
      <c r="Y19" s="249"/>
      <c r="Z19" s="249"/>
      <c r="AA19" s="249"/>
      <c r="AB19" s="249"/>
      <c r="AC19" s="38"/>
      <c r="AD19" s="38"/>
      <c r="AE19" s="38"/>
      <c r="AF19" s="38"/>
      <c r="AG19" s="38"/>
      <c r="AH19" s="38">
        <f>'Segment Analysis from cap iq '!B103</f>
        <v>1468000</v>
      </c>
      <c r="AI19" s="38">
        <f>'Segment Analysis from cap iq '!C103</f>
        <v>1616000</v>
      </c>
      <c r="AJ19" s="38">
        <f>'Segment Analysis from cap iq '!D103</f>
        <v>1743000</v>
      </c>
      <c r="AK19" s="38">
        <f>'Segment Analysis from cap iq '!E103</f>
        <v>1937000</v>
      </c>
      <c r="AL19" s="38">
        <f>'Segment Analysis from cap iq '!F103</f>
        <v>2133000</v>
      </c>
      <c r="AM19" s="38">
        <v>2337000</v>
      </c>
      <c r="AN19" s="250">
        <f>(AM19/AH19)^(1/5)-1</f>
        <v>9.7454519560876474E-2</v>
      </c>
    </row>
    <row r="20" spans="2:62" x14ac:dyDescent="0.3">
      <c r="B20" s="198" t="s">
        <v>268</v>
      </c>
      <c r="C20" s="190">
        <f t="shared" ref="C20:L20" si="15">C15-C19</f>
        <v>2447400.0014985013</v>
      </c>
      <c r="D20" s="190">
        <f t="shared" si="15"/>
        <v>3331713.3016633363</v>
      </c>
      <c r="E20" s="190">
        <f t="shared" si="15"/>
        <v>4370106.0310463086</v>
      </c>
      <c r="F20" s="190">
        <f t="shared" si="15"/>
        <v>5536752.1196578033</v>
      </c>
      <c r="G20" s="190">
        <f t="shared" si="15"/>
        <v>6845776.4689782131</v>
      </c>
      <c r="H20" s="190">
        <f t="shared" si="15"/>
        <v>7915784.6522947233</v>
      </c>
      <c r="I20" s="190">
        <f t="shared" si="15"/>
        <v>8865333.9819514509</v>
      </c>
      <c r="J20" s="190">
        <f t="shared" si="15"/>
        <v>9647544.2688076831</v>
      </c>
      <c r="K20" s="190">
        <f t="shared" si="15"/>
        <v>10213967.908965252</v>
      </c>
      <c r="L20" s="190">
        <f t="shared" si="15"/>
        <v>10516036.775250364</v>
      </c>
      <c r="N20" s="194"/>
      <c r="O20" s="194"/>
      <c r="P20" s="194"/>
      <c r="Q20" s="194"/>
      <c r="R20" s="194"/>
      <c r="S20" s="194"/>
      <c r="T20" s="194"/>
      <c r="V20" s="287" t="s">
        <v>329</v>
      </c>
      <c r="W20" s="287"/>
      <c r="X20" s="287"/>
      <c r="Y20" s="287"/>
      <c r="Z20" s="287"/>
      <c r="AA20" s="287"/>
      <c r="AB20" s="287"/>
      <c r="AC20" s="284"/>
      <c r="AD20" s="285"/>
      <c r="AE20" s="285"/>
      <c r="AF20" s="285"/>
      <c r="AG20" s="285"/>
      <c r="AH20" s="285"/>
      <c r="AI20" s="285"/>
      <c r="AJ20" s="285"/>
      <c r="AK20" s="285"/>
      <c r="AL20" s="285"/>
      <c r="AM20" s="285"/>
      <c r="AN20" s="286"/>
      <c r="AQ20" s="202">
        <v>2020</v>
      </c>
      <c r="AR20" s="202">
        <v>2021</v>
      </c>
      <c r="AS20" s="202">
        <v>2022</v>
      </c>
      <c r="AT20" s="202">
        <v>2023</v>
      </c>
      <c r="AU20" s="202">
        <v>2024</v>
      </c>
      <c r="AV20" s="202" t="s">
        <v>321</v>
      </c>
      <c r="AX20" s="202">
        <v>2020</v>
      </c>
      <c r="AY20" s="202">
        <v>2021</v>
      </c>
      <c r="AZ20" s="202">
        <v>2022</v>
      </c>
      <c r="BA20" s="202">
        <v>2023</v>
      </c>
      <c r="BB20" s="202">
        <v>2024</v>
      </c>
      <c r="BC20" s="202" t="s">
        <v>321</v>
      </c>
      <c r="BE20" s="202">
        <v>2020</v>
      </c>
      <c r="BF20" s="202">
        <v>2021</v>
      </c>
      <c r="BG20" s="202">
        <v>2022</v>
      </c>
      <c r="BH20" s="202">
        <v>2023</v>
      </c>
      <c r="BI20" s="202">
        <v>2024</v>
      </c>
      <c r="BJ20" s="202" t="s">
        <v>321</v>
      </c>
    </row>
    <row r="21" spans="2:62" x14ac:dyDescent="0.3">
      <c r="B21" s="198" t="s">
        <v>330</v>
      </c>
      <c r="C21" s="188">
        <f>'Forecasting '!B16</f>
        <v>0.19709266326959979</v>
      </c>
      <c r="D21" s="188">
        <f>'Forecasting '!C16</f>
        <v>0.20476235533874335</v>
      </c>
      <c r="E21" s="188">
        <f>'Forecasting '!D16</f>
        <v>0.2124320474078869</v>
      </c>
      <c r="F21" s="188">
        <f>'Forecasting '!E16</f>
        <v>0.22010173947703046</v>
      </c>
      <c r="G21" s="188">
        <f>'Forecasting '!F16</f>
        <v>0.22777143154617402</v>
      </c>
      <c r="H21" s="188">
        <f>'Forecasting '!G16</f>
        <v>0.23544112361531758</v>
      </c>
      <c r="I21" s="188">
        <f>'Forecasting '!H16</f>
        <v>0.24311081568446113</v>
      </c>
      <c r="J21" s="188">
        <f>'Forecasting '!I16</f>
        <v>0.25078050775360472</v>
      </c>
      <c r="K21" s="188">
        <f>'Forecasting '!J16</f>
        <v>0.25845019982274831</v>
      </c>
      <c r="L21" s="188">
        <f>'Forecasting '!K16</f>
        <v>0.26611989189189189</v>
      </c>
      <c r="N21" s="194"/>
      <c r="O21" s="194"/>
      <c r="P21" s="194"/>
      <c r="Q21" s="194"/>
      <c r="R21" s="194"/>
      <c r="S21" s="194"/>
      <c r="T21" s="194"/>
      <c r="V21" s="283"/>
      <c r="W21" s="283"/>
      <c r="X21" s="283"/>
      <c r="Y21" s="283"/>
      <c r="Z21" s="283"/>
      <c r="AA21" s="283"/>
      <c r="AB21" s="283"/>
      <c r="AC21" s="284"/>
      <c r="AD21" s="284"/>
      <c r="AE21" s="284"/>
      <c r="AF21" s="284"/>
      <c r="AG21" s="284"/>
      <c r="AH21" s="284"/>
      <c r="AI21" s="284"/>
      <c r="AJ21" s="284"/>
      <c r="AK21" s="284"/>
      <c r="AL21" s="284"/>
      <c r="AM21" s="284"/>
      <c r="AN21" s="286"/>
      <c r="AR21" s="188">
        <v>5.0000000000000001E-3</v>
      </c>
      <c r="AS21" s="188">
        <v>7.0000000000000007E-2</v>
      </c>
      <c r="AT21" s="188">
        <v>-2.5000000000000001E-2</v>
      </c>
      <c r="AU21" s="188">
        <v>3.6999999999999998E-2</v>
      </c>
      <c r="AV21" s="188">
        <v>0.309</v>
      </c>
      <c r="AX21" s="38">
        <v>3291695.6904133684</v>
      </c>
      <c r="AY21" s="38">
        <v>3308532.6281403126</v>
      </c>
      <c r="AZ21" s="38">
        <v>3540174.3888080893</v>
      </c>
      <c r="BA21" s="38">
        <v>3452507.3564593298</v>
      </c>
      <c r="BB21" s="38">
        <v>3581268.9419795224</v>
      </c>
      <c r="BC21" s="38">
        <v>4688856.8088176567</v>
      </c>
      <c r="BE21" s="413">
        <v>3785000</v>
      </c>
      <c r="BF21" s="413">
        <v>4204000</v>
      </c>
      <c r="BG21" s="413">
        <v>4466000</v>
      </c>
      <c r="BH21" s="413">
        <v>4560000</v>
      </c>
      <c r="BI21" s="413">
        <v>4753000</v>
      </c>
      <c r="BJ21" s="413">
        <v>6556000</v>
      </c>
    </row>
    <row r="22" spans="2:62" x14ac:dyDescent="0.3">
      <c r="B22" s="198" t="s">
        <v>331</v>
      </c>
      <c r="C22" s="209">
        <f>(C7-AL6)*0.025</f>
        <v>44347.750037462545</v>
      </c>
      <c r="D22" s="209">
        <f t="shared" ref="D22:L22" si="16">(D7-C7)*0.025</f>
        <v>35961.502504120908</v>
      </c>
      <c r="E22" s="209">
        <f t="shared" si="16"/>
        <v>39917.267779574264</v>
      </c>
      <c r="F22" s="209">
        <f t="shared" si="16"/>
        <v>44308.167235327375</v>
      </c>
      <c r="G22" s="209">
        <f t="shared" si="16"/>
        <v>49182.065631213416</v>
      </c>
      <c r="H22" s="209">
        <f t="shared" si="16"/>
        <v>44666.25778689282</v>
      </c>
      <c r="I22" s="209">
        <f t="shared" si="16"/>
        <v>43276.640877967424</v>
      </c>
      <c r="J22" s="209">
        <f t="shared" si="16"/>
        <v>40896.425629679026</v>
      </c>
      <c r="K22" s="209">
        <f t="shared" si="16"/>
        <v>37507.864648934359</v>
      </c>
      <c r="L22" s="209">
        <f t="shared" si="16"/>
        <v>33131.947106558735</v>
      </c>
      <c r="N22" s="16" t="s">
        <v>332</v>
      </c>
      <c r="O22" s="16"/>
      <c r="V22" s="198"/>
      <c r="W22" s="198"/>
      <c r="X22" s="198"/>
      <c r="Y22" s="198"/>
      <c r="Z22" s="198"/>
      <c r="AA22" s="198"/>
      <c r="AB22" s="198"/>
      <c r="AC22" s="188"/>
      <c r="AD22" s="188"/>
      <c r="AE22" s="188"/>
      <c r="AF22" s="188"/>
      <c r="AG22" s="188"/>
      <c r="AH22" s="188"/>
      <c r="AI22" s="188"/>
      <c r="AJ22" s="188"/>
      <c r="AK22" s="188"/>
      <c r="AL22" s="188"/>
      <c r="AM22" s="188"/>
      <c r="AN22" s="196"/>
      <c r="AO22" s="188"/>
    </row>
    <row r="23" spans="2:62" x14ac:dyDescent="0.3">
      <c r="B23" s="261" t="s">
        <v>272</v>
      </c>
      <c r="C23" s="262">
        <f t="shared" ref="C23:L23" si="17">C20*(1-C21)</f>
        <v>1965035.4171171393</v>
      </c>
      <c r="D23" s="262">
        <f t="shared" si="17"/>
        <v>2649503.8387013306</v>
      </c>
      <c r="E23" s="262">
        <f t="shared" si="17"/>
        <v>3441755.4594815867</v>
      </c>
      <c r="F23" s="262">
        <f t="shared" si="17"/>
        <v>4318103.3470679848</v>
      </c>
      <c r="G23" s="262">
        <f t="shared" si="17"/>
        <v>5286504.1625939328</v>
      </c>
      <c r="H23" s="262">
        <f t="shared" si="17"/>
        <v>6052083.4194615679</v>
      </c>
      <c r="I23" s="262">
        <f t="shared" si="17"/>
        <v>6710075.4062840622</v>
      </c>
      <c r="J23" s="262">
        <f t="shared" si="17"/>
        <v>7228128.2185007129</v>
      </c>
      <c r="K23" s="262">
        <f t="shared" si="17"/>
        <v>7574165.8619100442</v>
      </c>
      <c r="L23" s="262">
        <f t="shared" si="17"/>
        <v>7717510.2054895777</v>
      </c>
      <c r="N23" s="33"/>
      <c r="V23" s="198"/>
      <c r="W23" s="198"/>
      <c r="X23" s="198"/>
      <c r="Y23" s="198"/>
      <c r="Z23" s="198"/>
      <c r="AA23" s="198"/>
      <c r="AB23" s="198"/>
      <c r="AC23" s="188"/>
      <c r="AD23" s="188"/>
      <c r="AE23" s="188"/>
      <c r="AF23" s="188"/>
      <c r="AG23" s="188"/>
      <c r="AH23" s="188"/>
      <c r="AI23" s="188"/>
      <c r="AJ23" s="188"/>
      <c r="AK23" s="188"/>
      <c r="AL23" s="188"/>
      <c r="AM23" s="188"/>
      <c r="AN23" s="188"/>
      <c r="AO23" s="188"/>
    </row>
    <row r="24" spans="2:62" x14ac:dyDescent="0.3">
      <c r="C24" s="33"/>
      <c r="D24" s="33"/>
      <c r="E24" s="33"/>
      <c r="F24" s="33"/>
      <c r="G24" s="33"/>
      <c r="H24" s="33"/>
      <c r="I24" s="33"/>
      <c r="J24" s="33"/>
      <c r="K24" s="33"/>
      <c r="L24" s="33"/>
      <c r="N24" s="34"/>
      <c r="V24" s="1" t="s">
        <v>256</v>
      </c>
      <c r="AC24" s="189"/>
      <c r="AD24" s="189"/>
      <c r="AE24" s="189"/>
      <c r="AF24" s="189"/>
      <c r="AG24" s="189"/>
      <c r="AH24" s="189">
        <f>AH6-AH9</f>
        <v>6596000</v>
      </c>
      <c r="AI24" s="189">
        <f>AI6-AI9</f>
        <v>7544000</v>
      </c>
      <c r="AJ24" s="189">
        <f>AJ6-AJ9</f>
        <v>8921000</v>
      </c>
      <c r="AK24" s="189">
        <f>AK6-AK9</f>
        <v>10229000</v>
      </c>
      <c r="AL24" s="189">
        <f>AL6-AL9</f>
        <v>7679000</v>
      </c>
      <c r="AM24" s="189">
        <v>7</v>
      </c>
      <c r="AN24" s="188"/>
      <c r="AO24" s="188"/>
    </row>
    <row r="25" spans="2:62" x14ac:dyDescent="0.3">
      <c r="B25" s="283"/>
      <c r="C25" s="284"/>
      <c r="D25" s="284"/>
      <c r="E25" s="284"/>
      <c r="F25" s="284"/>
      <c r="G25" s="284"/>
      <c r="H25" s="284"/>
      <c r="I25" s="284"/>
      <c r="J25" s="284"/>
      <c r="K25" s="284"/>
      <c r="L25" s="284"/>
      <c r="N25" s="188"/>
      <c r="V25" s="198" t="s">
        <v>329</v>
      </c>
      <c r="W25" s="198"/>
      <c r="X25" s="198"/>
      <c r="Y25" s="198"/>
      <c r="Z25" s="198"/>
      <c r="AA25" s="198"/>
      <c r="AB25" s="198"/>
      <c r="AC25" s="188"/>
      <c r="AD25" s="188"/>
      <c r="AE25" s="188"/>
      <c r="AF25" s="188"/>
      <c r="AG25" s="188"/>
      <c r="AH25" s="188"/>
      <c r="AI25" s="188">
        <f>(AI24-AH24)/AH24</f>
        <v>0.14372346876895087</v>
      </c>
      <c r="AJ25" s="188">
        <f>(AJ24-AI24)/AI24</f>
        <v>0.18252916224814422</v>
      </c>
      <c r="AK25" s="188">
        <f>(AK24-AJ24)/AJ24</f>
        <v>0.14662033404326869</v>
      </c>
      <c r="AL25" s="188">
        <f>(AL24-AK24)/AK24</f>
        <v>-0.24929123081435137</v>
      </c>
      <c r="AM25" s="188"/>
      <c r="AN25" s="188">
        <f>AVERAGE(AD25:AK25)</f>
        <v>0.15762432168678794</v>
      </c>
      <c r="AO25" s="188"/>
    </row>
    <row r="26" spans="2:62" x14ac:dyDescent="0.3">
      <c r="B26" s="198"/>
      <c r="C26" s="188"/>
      <c r="D26" s="188"/>
      <c r="E26" s="188"/>
      <c r="F26" s="188"/>
      <c r="G26" s="188"/>
      <c r="H26" s="188"/>
      <c r="I26" s="188"/>
      <c r="J26" s="188"/>
      <c r="K26" s="188"/>
      <c r="L26" s="188"/>
      <c r="V26" s="198"/>
      <c r="W26" s="198"/>
      <c r="X26" s="198"/>
      <c r="Y26" s="198"/>
      <c r="Z26" s="198"/>
      <c r="AA26" s="198"/>
      <c r="AB26" s="198"/>
      <c r="AC26" s="188"/>
      <c r="AD26" s="188"/>
      <c r="AE26" s="188"/>
      <c r="AF26" s="188"/>
      <c r="AG26" s="188"/>
      <c r="AH26" s="188"/>
      <c r="AI26" s="188"/>
      <c r="AJ26" s="188"/>
      <c r="AK26" s="188"/>
      <c r="AL26" s="188"/>
      <c r="AM26" s="188"/>
      <c r="AN26" s="188"/>
      <c r="AO26" s="188"/>
    </row>
    <row r="27" spans="2:62" x14ac:dyDescent="0.3">
      <c r="N27" s="9"/>
      <c r="V27" s="198" t="s">
        <v>333</v>
      </c>
      <c r="W27" s="198"/>
      <c r="X27" s="198"/>
      <c r="Y27" s="198"/>
      <c r="Z27" s="198"/>
      <c r="AA27" s="198"/>
      <c r="AB27" s="198"/>
      <c r="AC27" s="192"/>
      <c r="AD27" s="192"/>
      <c r="AE27" s="192"/>
      <c r="AF27" s="192"/>
      <c r="AG27" s="192"/>
      <c r="AH27" s="192">
        <v>3785000</v>
      </c>
      <c r="AI27" s="192">
        <v>4204000</v>
      </c>
      <c r="AJ27" s="192">
        <v>4466000</v>
      </c>
      <c r="AK27" s="192">
        <v>4560000</v>
      </c>
      <c r="AL27" s="192">
        <v>4753000</v>
      </c>
      <c r="AM27" s="192">
        <v>6556000</v>
      </c>
      <c r="AN27" s="188"/>
      <c r="AO27" s="188"/>
    </row>
    <row r="28" spans="2:62" x14ac:dyDescent="0.3">
      <c r="B28" s="1" t="s">
        <v>334</v>
      </c>
      <c r="C28" s="9"/>
      <c r="D28" s="9"/>
      <c r="E28" s="9"/>
      <c r="F28" s="9"/>
      <c r="G28" s="9"/>
      <c r="H28" s="9"/>
      <c r="I28" s="9"/>
      <c r="J28" s="9"/>
      <c r="K28" s="9"/>
      <c r="L28" s="9"/>
      <c r="N28" s="9"/>
      <c r="V28" s="198" t="s">
        <v>335</v>
      </c>
      <c r="W28" s="198"/>
      <c r="X28" s="198"/>
      <c r="Y28" s="198"/>
      <c r="Z28" s="198"/>
      <c r="AA28" s="198"/>
      <c r="AB28" s="198"/>
      <c r="AC28" s="192"/>
      <c r="AD28" s="187"/>
      <c r="AE28" s="187"/>
      <c r="AF28" s="187"/>
      <c r="AG28" s="187"/>
      <c r="AH28" s="187"/>
      <c r="AI28" s="187">
        <f>(AI27-AH27)/AI27</f>
        <v>9.966698382492864E-2</v>
      </c>
      <c r="AJ28" s="187">
        <f>(AJ27-AI27)/AJ27</f>
        <v>5.866547245857591E-2</v>
      </c>
      <c r="AK28" s="187">
        <f>(AK27-AJ27)/AK27</f>
        <v>2.06140350877193E-2</v>
      </c>
      <c r="AL28" s="187">
        <f>(AL27-AK27)/AL27</f>
        <v>4.0605933094887442E-2</v>
      </c>
      <c r="AM28" s="187">
        <f>(AM27-AL27)/AM27</f>
        <v>0.27501525320317266</v>
      </c>
      <c r="AN28" s="137">
        <f>(AM27/AH27)^(1/5)-1</f>
        <v>0.11612956489717896</v>
      </c>
      <c r="AO28" s="188"/>
    </row>
    <row r="29" spans="2:62" x14ac:dyDescent="0.3">
      <c r="B29" s="1" t="s">
        <v>336</v>
      </c>
      <c r="D29" s="9"/>
      <c r="E29" s="9"/>
      <c r="F29" s="9"/>
      <c r="G29" s="9"/>
      <c r="H29" s="9"/>
      <c r="I29" s="9"/>
      <c r="J29" s="9"/>
      <c r="K29" s="9"/>
      <c r="L29" s="9"/>
      <c r="U29" s="1" t="e">
        <f>#REF!*(1+0.06)</f>
        <v>#REF!</v>
      </c>
      <c r="V29" s="198" t="s">
        <v>271</v>
      </c>
      <c r="W29" s="198"/>
      <c r="X29" s="198"/>
      <c r="Y29" s="198"/>
      <c r="Z29" s="198"/>
      <c r="AA29" s="198"/>
      <c r="AB29" s="198"/>
      <c r="AC29" s="188"/>
      <c r="AD29" s="188"/>
      <c r="AE29" s="188"/>
      <c r="AF29" s="188"/>
      <c r="AG29" s="188"/>
      <c r="AH29" s="316">
        <v>9.9479999999999999E-2</v>
      </c>
      <c r="AI29" s="137">
        <v>6.3420000000000004E-2</v>
      </c>
      <c r="AJ29" s="137">
        <v>0.19577</v>
      </c>
      <c r="AK29" s="137">
        <v>0.11931</v>
      </c>
      <c r="AL29" s="137">
        <v>5.8900000000000001E-2</v>
      </c>
      <c r="AM29" s="118">
        <f>701/1169</f>
        <v>0.59965782720273741</v>
      </c>
      <c r="AN29" s="188"/>
      <c r="AO29" s="188"/>
    </row>
    <row r="30" spans="2:62" x14ac:dyDescent="0.3">
      <c r="B30" s="1" t="s">
        <v>337</v>
      </c>
      <c r="C30" s="263">
        <f>'DCF '!C20-'DCF '!C14</f>
        <v>10082560</v>
      </c>
      <c r="D30" s="263">
        <f>'DCF '!D20-'DCF '!D14</f>
        <v>9143467.1999999993</v>
      </c>
      <c r="E30" s="263">
        <f>'DCF '!E20-'DCF '!E14</f>
        <v>8791683.2639999986</v>
      </c>
      <c r="F30" s="263">
        <f>'DCF '!F20-'DCF '!F14</f>
        <v>8397685.2556799985</v>
      </c>
      <c r="G30" s="263">
        <f>'DCF '!G20-'DCF '!G14</f>
        <v>7956407.4863615986</v>
      </c>
      <c r="H30" s="263">
        <f>'DCF '!H20-'DCF '!H14</f>
        <v>7247176.3847249895</v>
      </c>
      <c r="I30" s="263">
        <f>'DCF '!I20-'DCF '!I14</f>
        <v>6478637.550891988</v>
      </c>
      <c r="J30" s="263">
        <f>'DCF '!J20-'DCF '!J14</f>
        <v>5643674.0569990259</v>
      </c>
      <c r="K30" s="263">
        <f>'DCF '!K20-'DCF '!K14</f>
        <v>4734314.9438389083</v>
      </c>
      <c r="L30" s="263">
        <f>'DCF '!L20-'DCF '!L14</f>
        <v>3741632.7370995767</v>
      </c>
    </row>
    <row r="31" spans="2:62" x14ac:dyDescent="0.3">
      <c r="B31" s="1" t="s">
        <v>338</v>
      </c>
      <c r="C31" s="263"/>
      <c r="D31" s="263"/>
      <c r="E31" s="263"/>
      <c r="F31" s="263"/>
      <c r="G31" s="263"/>
      <c r="H31" s="263"/>
      <c r="I31" s="263"/>
      <c r="J31" s="263"/>
      <c r="K31" s="263"/>
      <c r="L31" s="263"/>
      <c r="V31" s="1" t="s">
        <v>339</v>
      </c>
      <c r="AH31" s="1">
        <f>'Segment Analysis from cap iq '!B74-'Segment Analysis from cap iq '!B63</f>
        <v>3184000</v>
      </c>
      <c r="AI31" s="1">
        <f>'Segment Analysis from cap iq '!C74-'Segment Analysis from cap iq '!C63</f>
        <v>572000</v>
      </c>
      <c r="AJ31" s="1">
        <f>'Segment Analysis from cap iq '!D74-'Segment Analysis from cap iq '!D63</f>
        <v>1784000</v>
      </c>
      <c r="AK31" s="1">
        <f>'Segment Analysis from cap iq '!E74-'Segment Analysis from cap iq '!E63</f>
        <v>2153000</v>
      </c>
      <c r="AL31" s="1">
        <f>'Segment Analysis from cap iq '!F74-'Segment Analysis from cap iq '!F63</f>
        <v>1906000</v>
      </c>
      <c r="AM31" s="1">
        <v>2072000</v>
      </c>
      <c r="AN31" s="1">
        <f>AM31*1.11</f>
        <v>2299920</v>
      </c>
    </row>
    <row r="32" spans="2:62" x14ac:dyDescent="0.3">
      <c r="B32" s="1" t="s">
        <v>340</v>
      </c>
      <c r="C32" s="263"/>
      <c r="D32" s="263"/>
      <c r="E32" s="263"/>
      <c r="F32" s="263"/>
      <c r="G32" s="263"/>
      <c r="H32" s="263"/>
      <c r="I32" s="263"/>
      <c r="J32" s="263"/>
      <c r="K32" s="263"/>
      <c r="L32" s="263"/>
      <c r="V32" s="1" t="s">
        <v>341</v>
      </c>
      <c r="AH32" s="317">
        <f t="shared" ref="AH32:AM32" si="18">AH$17*(1-AH$29)</f>
        <v>1642274.4431310466</v>
      </c>
      <c r="AI32" s="317">
        <f t="shared" si="18"/>
        <v>1585192.2088636539</v>
      </c>
      <c r="AJ32" s="317">
        <f t="shared" si="18"/>
        <v>1445341.5587111297</v>
      </c>
      <c r="AK32" s="317">
        <f t="shared" si="18"/>
        <v>1334692.1737601671</v>
      </c>
      <c r="AL32" s="317">
        <f t="shared" si="18"/>
        <v>1362965.9012969285</v>
      </c>
      <c r="AM32" s="317">
        <f t="shared" si="18"/>
        <v>941547.46495009691</v>
      </c>
    </row>
    <row r="33" spans="2:46" x14ac:dyDescent="0.3">
      <c r="B33" s="1" t="s">
        <v>342</v>
      </c>
    </row>
    <row r="34" spans="2:46" x14ac:dyDescent="0.3">
      <c r="C34" s="263"/>
      <c r="D34" s="263"/>
      <c r="E34" s="263"/>
      <c r="F34" s="263"/>
      <c r="G34" s="263"/>
      <c r="H34" s="263"/>
      <c r="I34" s="263"/>
      <c r="J34" s="263"/>
      <c r="K34" s="263"/>
      <c r="L34" s="263"/>
    </row>
    <row r="35" spans="2:46" x14ac:dyDescent="0.3">
      <c r="C35" s="263"/>
      <c r="D35" s="263"/>
      <c r="E35" s="263"/>
      <c r="F35" s="263"/>
      <c r="G35" s="263"/>
      <c r="H35" s="263"/>
      <c r="I35" s="263"/>
      <c r="J35" s="263"/>
      <c r="K35" s="263"/>
      <c r="L35" s="263"/>
    </row>
    <row r="36" spans="2:46" x14ac:dyDescent="0.3">
      <c r="B36" s="2"/>
      <c r="AJ36" s="1">
        <f>AL31/'Segment Analysis from cap iq '!F74</f>
        <v>0.6766063187788427</v>
      </c>
    </row>
    <row r="37" spans="2:46" x14ac:dyDescent="0.3">
      <c r="B37" s="245"/>
      <c r="C37" s="372"/>
      <c r="D37" s="372"/>
      <c r="E37" s="372"/>
      <c r="F37" s="264"/>
      <c r="G37" s="33"/>
      <c r="H37" s="33"/>
      <c r="I37" s="264"/>
      <c r="J37" s="264"/>
      <c r="K37" s="264"/>
      <c r="L37" s="264"/>
    </row>
    <row r="38" spans="2:46" x14ac:dyDescent="0.3">
      <c r="C38" s="14"/>
      <c r="D38" s="14"/>
      <c r="E38" s="14"/>
      <c r="F38" s="14"/>
      <c r="G38" s="33"/>
      <c r="H38" s="33"/>
      <c r="I38" s="14"/>
      <c r="J38" s="14"/>
      <c r="K38" s="14"/>
      <c r="L38" s="14"/>
    </row>
    <row r="39" spans="2:46" x14ac:dyDescent="0.3">
      <c r="C39" s="14"/>
      <c r="D39" s="14"/>
      <c r="E39" s="14"/>
      <c r="F39" s="14"/>
      <c r="G39" s="33"/>
      <c r="H39" s="33"/>
      <c r="I39" s="14"/>
      <c r="J39" s="14"/>
      <c r="K39" s="14"/>
      <c r="L39" s="14"/>
      <c r="AO39" s="192"/>
      <c r="AP39" s="192"/>
      <c r="AQ39" s="192"/>
      <c r="AR39" s="192"/>
      <c r="AS39" s="192"/>
      <c r="AT39" s="192"/>
    </row>
    <row r="40" spans="2:46" x14ac:dyDescent="0.3">
      <c r="C40" s="14"/>
      <c r="D40" s="14"/>
      <c r="E40" s="14"/>
      <c r="F40" s="14"/>
      <c r="G40" s="33"/>
      <c r="H40" s="265"/>
      <c r="I40" s="14"/>
      <c r="J40" s="14"/>
      <c r="K40" s="14"/>
      <c r="L40" s="14"/>
    </row>
    <row r="41" spans="2:46" x14ac:dyDescent="0.3">
      <c r="B41" s="29"/>
      <c r="C41" s="266"/>
      <c r="D41" s="266"/>
      <c r="E41" s="266"/>
      <c r="F41" s="266"/>
      <c r="G41" s="33"/>
      <c r="H41" s="33"/>
      <c r="I41" s="267"/>
      <c r="J41" s="267"/>
      <c r="K41" s="267"/>
      <c r="L41" s="267"/>
      <c r="V41" s="1" t="s">
        <v>343</v>
      </c>
      <c r="AH41" s="143">
        <f>'historicals + revenue split '!C8</f>
        <v>0.87686895338610382</v>
      </c>
      <c r="AI41" s="143">
        <f>'historicals + revenue split '!D8</f>
        <v>0.84467605195613282</v>
      </c>
      <c r="AJ41" s="143">
        <f>'historicals + revenue split '!E8</f>
        <v>0.86709605928388389</v>
      </c>
      <c r="AK41" s="143">
        <f>'historicals + revenue split '!F8</f>
        <v>0.81632775119617229</v>
      </c>
      <c r="AL41" s="143">
        <f>'historicals + revenue split '!G8</f>
        <v>0.85726204019719376</v>
      </c>
      <c r="AM41" s="135">
        <f>'historicals + revenue split '!I8</f>
        <v>0.84575857130823018</v>
      </c>
    </row>
    <row r="42" spans="2:46" x14ac:dyDescent="0.3">
      <c r="C42" s="33"/>
      <c r="D42" s="33"/>
      <c r="E42" s="33"/>
      <c r="F42" s="33"/>
      <c r="G42" s="33"/>
      <c r="H42" s="33"/>
      <c r="I42" s="33"/>
      <c r="J42" s="33"/>
      <c r="K42" s="33"/>
      <c r="L42" s="33"/>
    </row>
    <row r="43" spans="2:46" x14ac:dyDescent="0.3">
      <c r="C43" s="33"/>
      <c r="D43" s="33"/>
      <c r="E43" s="33"/>
      <c r="F43" s="33"/>
      <c r="G43" s="33"/>
      <c r="H43" s="33"/>
      <c r="I43" s="33"/>
      <c r="J43" s="33"/>
      <c r="K43" s="33"/>
      <c r="L43" s="33"/>
      <c r="AJ43" s="366"/>
    </row>
    <row r="44" spans="2:46" x14ac:dyDescent="0.3">
      <c r="B44" s="28" t="s">
        <v>344</v>
      </c>
      <c r="C44" s="7"/>
      <c r="D44" s="7"/>
      <c r="E44" s="7"/>
      <c r="F44" s="7"/>
      <c r="G44" s="7"/>
      <c r="H44" s="7"/>
      <c r="I44" s="7"/>
      <c r="J44" s="7"/>
      <c r="K44" s="7"/>
      <c r="L44" s="7"/>
      <c r="O44" s="245"/>
      <c r="P44" s="28" t="s">
        <v>345</v>
      </c>
      <c r="Q44" s="136"/>
      <c r="R44" s="136"/>
      <c r="S44" s="136"/>
      <c r="T44" s="136"/>
      <c r="U44" s="136"/>
    </row>
    <row r="45" spans="2:46" x14ac:dyDescent="0.3">
      <c r="C45" s="33"/>
      <c r="D45" s="33"/>
      <c r="E45" s="33"/>
      <c r="F45" s="33"/>
      <c r="G45" s="33"/>
      <c r="H45" s="33"/>
      <c r="I45" s="33"/>
      <c r="J45" s="33"/>
      <c r="K45" s="33"/>
      <c r="L45" s="33"/>
      <c r="AH45" s="284"/>
      <c r="AJ45" s="284"/>
    </row>
    <row r="46" spans="2:46" x14ac:dyDescent="0.3">
      <c r="C46" s="33"/>
      <c r="D46" s="33"/>
      <c r="E46" s="33"/>
      <c r="F46" s="33"/>
      <c r="G46" s="33"/>
      <c r="H46" s="33"/>
      <c r="I46" s="33"/>
      <c r="J46" s="33"/>
      <c r="K46" s="33"/>
      <c r="L46" s="33"/>
      <c r="AI46" s="284"/>
    </row>
    <row r="47" spans="2:46" x14ac:dyDescent="0.3">
      <c r="C47" s="33"/>
      <c r="D47" s="33"/>
      <c r="E47" s="33"/>
      <c r="F47" s="33"/>
      <c r="G47" s="33"/>
      <c r="H47" s="33"/>
      <c r="I47" s="33"/>
      <c r="J47" s="33"/>
      <c r="K47" s="33"/>
      <c r="L47" s="33"/>
    </row>
    <row r="48" spans="2:46" x14ac:dyDescent="0.3">
      <c r="C48" s="33"/>
      <c r="D48" s="33"/>
      <c r="E48" s="33"/>
      <c r="F48" s="33"/>
      <c r="G48" s="33"/>
      <c r="H48" s="33"/>
      <c r="I48" s="33"/>
      <c r="J48" s="33"/>
      <c r="K48" s="33"/>
      <c r="L48" s="33"/>
    </row>
    <row r="49" spans="2:41" x14ac:dyDescent="0.3">
      <c r="C49" s="33"/>
      <c r="D49" s="33"/>
      <c r="E49" s="33"/>
      <c r="F49" s="33"/>
      <c r="G49" s="33"/>
      <c r="H49" s="33"/>
      <c r="I49" s="33"/>
      <c r="J49" s="33"/>
      <c r="K49" s="33"/>
      <c r="L49" s="33"/>
    </row>
    <row r="50" spans="2:41" x14ac:dyDescent="0.3">
      <c r="C50" s="33"/>
      <c r="D50" s="33"/>
      <c r="E50" s="33"/>
      <c r="F50" s="33"/>
      <c r="G50" s="33"/>
      <c r="H50" s="33"/>
      <c r="I50" s="33"/>
      <c r="J50" s="33"/>
      <c r="K50" s="33"/>
      <c r="L50" s="33"/>
      <c r="AE50" s="318" t="s">
        <v>346</v>
      </c>
      <c r="AF50" s="318"/>
      <c r="AG50" s="318"/>
      <c r="AH50" s="318" t="s">
        <v>347</v>
      </c>
      <c r="AI50" s="318" t="s">
        <v>348</v>
      </c>
      <c r="AJ50" s="318" t="s">
        <v>349</v>
      </c>
      <c r="AK50" s="319" t="s">
        <v>321</v>
      </c>
    </row>
    <row r="51" spans="2:41" ht="28.2" x14ac:dyDescent="0.3">
      <c r="C51" s="33"/>
      <c r="D51" s="33"/>
      <c r="E51" s="33"/>
      <c r="F51" s="33"/>
      <c r="G51" s="33"/>
      <c r="H51" s="33"/>
      <c r="I51" s="33"/>
      <c r="J51" s="33"/>
      <c r="K51" s="33"/>
      <c r="L51" s="33"/>
      <c r="AE51" s="318" t="s">
        <v>350</v>
      </c>
      <c r="AF51" s="318"/>
      <c r="AG51" s="318"/>
      <c r="AH51" s="318">
        <v>12520000</v>
      </c>
      <c r="AI51" s="318">
        <v>13649000</v>
      </c>
      <c r="AJ51" s="318">
        <v>11303000</v>
      </c>
      <c r="AK51" s="319">
        <v>11871000</v>
      </c>
    </row>
    <row r="52" spans="2:41" ht="28.2" x14ac:dyDescent="0.3">
      <c r="C52" s="33"/>
      <c r="D52" s="33"/>
      <c r="E52" s="33"/>
      <c r="F52" s="33"/>
      <c r="G52" s="33"/>
      <c r="H52" s="33"/>
      <c r="I52" s="33"/>
      <c r="J52" s="33"/>
      <c r="K52" s="33"/>
      <c r="L52" s="33"/>
      <c r="N52" s="170"/>
      <c r="O52" s="170"/>
      <c r="P52" s="170"/>
      <c r="Q52" s="170"/>
      <c r="R52" s="170"/>
      <c r="S52" s="170"/>
      <c r="AE52" s="318" t="s">
        <v>351</v>
      </c>
      <c r="AF52" s="318"/>
      <c r="AG52" s="318"/>
      <c r="AH52" s="318">
        <v>3540174.3888080893</v>
      </c>
      <c r="AI52" s="318">
        <v>3452507.3564593298</v>
      </c>
      <c r="AJ52" s="318">
        <v>3581268.9419795224</v>
      </c>
      <c r="AK52" s="319">
        <v>4688856.8088176567</v>
      </c>
    </row>
    <row r="53" spans="2:41" ht="42" x14ac:dyDescent="0.3">
      <c r="C53" s="33"/>
      <c r="D53" s="33"/>
      <c r="E53" s="33"/>
      <c r="F53" s="33"/>
      <c r="G53" s="33"/>
      <c r="H53" s="33"/>
      <c r="I53" s="33"/>
      <c r="J53" s="33"/>
      <c r="K53" s="33"/>
      <c r="L53" s="33"/>
      <c r="N53" s="170"/>
      <c r="O53" s="170"/>
      <c r="P53" s="170"/>
      <c r="Q53" s="170"/>
      <c r="R53" s="170"/>
      <c r="S53" s="170"/>
      <c r="AE53" s="318" t="s">
        <v>352</v>
      </c>
      <c r="AF53" s="318"/>
      <c r="AG53" s="318"/>
      <c r="AH53" s="320">
        <v>7.0000000000000007E-2</v>
      </c>
      <c r="AI53" s="320">
        <v>-2.5000000000000001E-2</v>
      </c>
      <c r="AJ53" s="320">
        <v>3.6999999999999998E-2</v>
      </c>
      <c r="AK53" s="321">
        <v>0.309</v>
      </c>
    </row>
    <row r="54" spans="2:41" ht="42" x14ac:dyDescent="0.3">
      <c r="C54" s="33"/>
      <c r="D54" s="33"/>
      <c r="E54" s="33"/>
      <c r="F54" s="33"/>
      <c r="G54" s="33"/>
      <c r="H54" s="33"/>
      <c r="I54" s="33"/>
      <c r="J54" s="33"/>
      <c r="K54" s="33"/>
      <c r="L54" s="33"/>
      <c r="N54" s="170"/>
      <c r="O54" s="170"/>
      <c r="P54" s="170"/>
      <c r="Q54" s="170"/>
      <c r="R54" s="170"/>
      <c r="S54" s="170"/>
      <c r="AE54" s="318" t="s">
        <v>353</v>
      </c>
      <c r="AF54" s="318"/>
      <c r="AG54" s="318"/>
      <c r="AH54" s="318">
        <v>1797174.3888080893</v>
      </c>
      <c r="AI54" s="318">
        <v>1515507.3564593298</v>
      </c>
      <c r="AJ54" s="318">
        <v>1448268.9419795224</v>
      </c>
      <c r="AK54" s="319">
        <v>2351856.8088176567</v>
      </c>
    </row>
    <row r="55" spans="2:41" ht="42" x14ac:dyDescent="0.3">
      <c r="N55" s="170"/>
      <c r="O55" s="170"/>
      <c r="P55" s="170"/>
      <c r="Q55" s="170"/>
      <c r="R55" s="170"/>
      <c r="S55" s="170"/>
      <c r="AE55" s="318" t="s">
        <v>354</v>
      </c>
      <c r="AF55" s="318"/>
      <c r="AG55" s="318"/>
      <c r="AH55" s="318">
        <v>1784000</v>
      </c>
      <c r="AI55" s="318">
        <v>2153000</v>
      </c>
      <c r="AJ55" s="318">
        <v>1906000</v>
      </c>
      <c r="AK55" s="319">
        <v>2072000</v>
      </c>
    </row>
    <row r="56" spans="2:41" s="10" customFormat="1" ht="28.2" x14ac:dyDescent="0.3">
      <c r="B56" s="245"/>
      <c r="C56" s="141"/>
      <c r="D56" s="141"/>
      <c r="E56" s="141"/>
      <c r="F56" s="141"/>
      <c r="G56" s="141"/>
      <c r="H56" s="141"/>
      <c r="I56" s="141"/>
      <c r="J56" s="141"/>
      <c r="K56" s="141"/>
      <c r="L56" s="141"/>
      <c r="N56" s="170"/>
      <c r="O56" s="170"/>
      <c r="P56" s="170"/>
      <c r="Q56" s="170"/>
      <c r="R56" s="170"/>
      <c r="S56" s="170"/>
      <c r="AE56" s="318" t="s">
        <v>355</v>
      </c>
      <c r="AF56" s="318"/>
      <c r="AG56" s="318"/>
      <c r="AH56" s="318">
        <v>1445341.5587111297</v>
      </c>
      <c r="AI56" s="318">
        <v>1334692.1737601671</v>
      </c>
      <c r="AJ56" s="318">
        <v>1362965.9012969285</v>
      </c>
      <c r="AK56" s="331">
        <v>941547.46495009691</v>
      </c>
    </row>
    <row r="57" spans="2:41" s="10" customFormat="1" ht="28.2" x14ac:dyDescent="0.3">
      <c r="C57" s="14"/>
      <c r="D57" s="14"/>
      <c r="E57" s="14"/>
      <c r="F57" s="14"/>
      <c r="G57" s="14"/>
      <c r="H57" s="14"/>
      <c r="I57" s="14"/>
      <c r="J57" s="14"/>
      <c r="K57" s="14"/>
      <c r="L57" s="14"/>
      <c r="N57" s="170"/>
      <c r="O57" s="170"/>
      <c r="P57" s="170"/>
      <c r="Q57" s="170"/>
      <c r="R57" s="170"/>
      <c r="S57" s="170"/>
      <c r="AE57" s="318" t="s">
        <v>356</v>
      </c>
      <c r="AF57" s="318"/>
      <c r="AG57" s="318"/>
      <c r="AH57" s="318">
        <f>AH$56/R$81</f>
        <v>14.606639232661921</v>
      </c>
      <c r="AI57" s="318">
        <f>AI$56/S$81</f>
        <v>11.882731555351285</v>
      </c>
      <c r="AJ57" s="318">
        <f>AJ$56/T$81</f>
        <v>10.794657986084035</v>
      </c>
      <c r="AK57" s="332">
        <f>AK$56/U$81</f>
        <v>9.2640992674705007</v>
      </c>
    </row>
    <row r="58" spans="2:41" s="10" customFormat="1" x14ac:dyDescent="0.3">
      <c r="C58" s="14"/>
      <c r="D58" s="14"/>
      <c r="E58" s="14"/>
      <c r="F58" s="14"/>
      <c r="G58" s="14"/>
      <c r="H58" s="14"/>
      <c r="I58" s="14"/>
      <c r="J58" s="14"/>
      <c r="K58" s="14"/>
      <c r="L58" s="14"/>
      <c r="N58" s="170"/>
      <c r="O58" s="170"/>
      <c r="P58" s="170"/>
      <c r="Q58" s="170"/>
      <c r="R58" s="170"/>
      <c r="S58" s="170"/>
    </row>
    <row r="59" spans="2:41" s="10" customFormat="1" ht="15" x14ac:dyDescent="0.25">
      <c r="C59" s="14"/>
      <c r="D59" s="14"/>
      <c r="E59" s="14"/>
      <c r="F59" s="14"/>
      <c r="G59" s="14"/>
      <c r="H59" s="14"/>
      <c r="I59" s="14"/>
      <c r="J59" s="14"/>
      <c r="K59" s="14"/>
      <c r="L59" s="14"/>
    </row>
    <row r="60" spans="2:41" s="10" customFormat="1" ht="15" x14ac:dyDescent="0.25">
      <c r="C60" s="14"/>
      <c r="D60" s="14"/>
      <c r="E60" s="14"/>
      <c r="F60" s="14"/>
      <c r="G60" s="14"/>
      <c r="H60" s="14"/>
      <c r="I60" s="14"/>
      <c r="J60" s="14"/>
      <c r="K60" s="14"/>
      <c r="L60" s="14"/>
    </row>
    <row r="61" spans="2:41" x14ac:dyDescent="0.3">
      <c r="B61" s="268"/>
      <c r="C61" s="267"/>
      <c r="D61" s="267"/>
      <c r="E61" s="267"/>
      <c r="F61" s="267"/>
      <c r="G61" s="267"/>
      <c r="H61" s="267"/>
      <c r="I61" s="267"/>
      <c r="J61" s="267"/>
      <c r="K61" s="267"/>
      <c r="L61" s="267"/>
      <c r="AC61" s="358" t="s">
        <v>357</v>
      </c>
      <c r="AD61" s="358" t="s">
        <v>358</v>
      </c>
      <c r="AE61" s="358" t="s">
        <v>216</v>
      </c>
      <c r="AF61" s="358"/>
      <c r="AG61" s="358"/>
      <c r="AH61" s="358" t="s">
        <v>242</v>
      </c>
      <c r="AI61" s="358" t="s">
        <v>243</v>
      </c>
      <c r="AJ61" s="358" t="s">
        <v>244</v>
      </c>
      <c r="AK61" s="358" t="s">
        <v>245</v>
      </c>
      <c r="AL61" s="358" t="s">
        <v>246</v>
      </c>
      <c r="AM61" s="358" t="s">
        <v>247</v>
      </c>
      <c r="AN61" s="358" t="s">
        <v>248</v>
      </c>
      <c r="AO61" s="358" t="s">
        <v>249</v>
      </c>
    </row>
    <row r="62" spans="2:41" x14ac:dyDescent="0.3">
      <c r="C62" s="33"/>
      <c r="D62" s="33"/>
      <c r="E62" s="33"/>
      <c r="F62" s="33"/>
      <c r="G62" s="33"/>
      <c r="H62" s="33"/>
      <c r="I62" s="33"/>
      <c r="J62" s="33"/>
      <c r="K62" s="33"/>
      <c r="L62" s="33"/>
      <c r="AC62" s="358" t="s">
        <v>359</v>
      </c>
      <c r="AD62" s="359">
        <f>'DCF '!C5</f>
        <v>0.10158453373768021</v>
      </c>
      <c r="AE62" s="359">
        <f>'DCF '!D5</f>
        <v>0.1100000000000001</v>
      </c>
      <c r="AF62" s="359"/>
      <c r="AG62" s="359"/>
      <c r="AH62" s="359">
        <f>'DCF '!E5</f>
        <v>0.11000000000000004</v>
      </c>
      <c r="AI62" s="359">
        <f>'DCF '!F5</f>
        <v>0.11000000000000006</v>
      </c>
      <c r="AJ62" s="359">
        <f>'DCF '!G5</f>
        <v>0.11</v>
      </c>
      <c r="AK62" s="359">
        <f>'DCF '!H5</f>
        <v>9.0000000124904694E-2</v>
      </c>
      <c r="AL62" s="359">
        <f>'DCF '!I5</f>
        <v>8.000000000000021E-2</v>
      </c>
      <c r="AM62" s="359">
        <f>'DCF '!J5</f>
        <v>6.999999999999984E-2</v>
      </c>
      <c r="AN62" s="359">
        <f>'DCF '!K5</f>
        <v>6.000000000000015E-2</v>
      </c>
      <c r="AO62" s="359">
        <f>'DCF '!L5</f>
        <v>5.0000000000000197E-2</v>
      </c>
    </row>
    <row r="63" spans="2:41" x14ac:dyDescent="0.3">
      <c r="C63" s="33"/>
      <c r="D63" s="33"/>
      <c r="E63" s="33"/>
      <c r="F63" s="33"/>
      <c r="G63" s="33"/>
      <c r="H63" s="33"/>
      <c r="I63" s="33"/>
      <c r="J63" s="33"/>
      <c r="K63" s="33"/>
      <c r="L63" s="33"/>
      <c r="N63" s="170"/>
      <c r="O63" s="170"/>
      <c r="P63" s="170"/>
      <c r="Q63" s="170"/>
      <c r="R63" s="170"/>
      <c r="S63" s="170"/>
      <c r="AC63" s="358" t="s">
        <v>360</v>
      </c>
      <c r="AD63" s="359">
        <f>'DCF '!C12</f>
        <v>0.38731168142932859</v>
      </c>
      <c r="AE63" s="359">
        <f>'DCF '!D12</f>
        <v>0.43149062385946335</v>
      </c>
      <c r="AF63" s="359"/>
      <c r="AG63" s="359"/>
      <c r="AH63" s="359">
        <f>'DCF '!E12</f>
        <v>0.47501203322016206</v>
      </c>
      <c r="AI63" s="359">
        <f>'DCF '!F12</f>
        <v>0.51520170102667551</v>
      </c>
      <c r="AJ63" s="359">
        <f>'DCF '!G12</f>
        <v>0.55231468743806933</v>
      </c>
      <c r="AK63" s="359">
        <f>'DCF '!H12</f>
        <v>0.57900095817964514</v>
      </c>
      <c r="AL63" s="359">
        <f>'DCF '!I12</f>
        <v>0.60043068254194354</v>
      </c>
      <c r="AM63" s="359">
        <f>'DCF '!J12</f>
        <v>0.61722536151816854</v>
      </c>
      <c r="AN63" s="359">
        <f>'DCF '!K12</f>
        <v>0.6298548086923923</v>
      </c>
      <c r="AO63" s="359">
        <f>'DCF '!L12</f>
        <v>0.63865865592709614</v>
      </c>
    </row>
    <row r="64" spans="2:41" x14ac:dyDescent="0.3">
      <c r="N64" s="170"/>
      <c r="O64" s="170"/>
      <c r="P64" s="170"/>
      <c r="Q64" s="170"/>
      <c r="R64" s="170"/>
      <c r="S64" s="170"/>
      <c r="AC64" s="358" t="s">
        <v>361</v>
      </c>
      <c r="AD64" s="359">
        <f>'DCF '!C23/'DCF '!C4</f>
        <v>0.20015737662796487</v>
      </c>
      <c r="AE64" s="359">
        <f>'DCF '!D23/'DCF '!D4</f>
        <v>0.20196059623722581</v>
      </c>
      <c r="AF64" s="359"/>
      <c r="AG64" s="359"/>
      <c r="AH64" s="359">
        <f>'DCF '!E23/'DCF '!E4</f>
        <v>0.2037800610681918</v>
      </c>
      <c r="AI64" s="359">
        <f>'DCF '!F23/'DCF '!F4</f>
        <v>0.20561591747421157</v>
      </c>
      <c r="AJ64" s="359">
        <f>'DCF '!G23/'DCF '!G4</f>
        <v>0.2074683131271324</v>
      </c>
      <c r="AK64" s="359">
        <f>'DCF '!H23/'DCF '!H4</f>
        <v>0.21317845016124892</v>
      </c>
      <c r="AL64" s="359">
        <f>'DCF '!I23/'DCF '!I4</f>
        <v>0.22107394831536922</v>
      </c>
      <c r="AM64" s="359">
        <f>'DCF '!J23/'DCF '!J4</f>
        <v>0.23140450664786316</v>
      </c>
      <c r="AN64" s="359">
        <f>'DCF '!K23/'DCF '!K4</f>
        <v>0.24450287494868561</v>
      </c>
      <c r="AO64" s="359">
        <f>'DCF '!L23/'DCF '!L4</f>
        <v>0.26080306661193126</v>
      </c>
    </row>
    <row r="65" spans="2:41" x14ac:dyDescent="0.3">
      <c r="N65" s="170"/>
      <c r="O65" s="170"/>
      <c r="P65" s="170"/>
      <c r="Q65" s="170"/>
      <c r="R65" s="170"/>
      <c r="S65" s="170"/>
      <c r="AC65" s="358" t="s">
        <v>362</v>
      </c>
      <c r="AD65" s="359">
        <f>'DCF '!C15/'DCF '!C4</f>
        <v>0.18715430480136369</v>
      </c>
      <c r="AE65" s="359">
        <f>'DCF '!D15/'DCF '!D4</f>
        <v>0.22953002762223754</v>
      </c>
      <c r="AF65" s="359"/>
      <c r="AG65" s="359"/>
      <c r="AH65" s="359">
        <f>'DCF '!E15/'DCF '!E4</f>
        <v>0.27123197215197026</v>
      </c>
      <c r="AI65" s="359">
        <f>'DCF '!F15/'DCF '!F4</f>
        <v>0.30958578355246391</v>
      </c>
      <c r="AJ65" s="359">
        <f>'DCF '!G15/'DCF '!G4</f>
        <v>0.3448463743109369</v>
      </c>
      <c r="AK65" s="359">
        <f>'DCF '!H15/'DCF '!H4</f>
        <v>0.36582250801839616</v>
      </c>
      <c r="AL65" s="359">
        <f>'DCF '!I15/'DCF '!I4</f>
        <v>0.37935673422657429</v>
      </c>
      <c r="AM65" s="359">
        <f>'DCF '!J15/'DCF '!J4</f>
        <v>0.38582085487030537</v>
      </c>
      <c r="AN65" s="359">
        <f>'DCF '!K15/'DCF '!K4</f>
        <v>0.38535193374370663</v>
      </c>
      <c r="AO65" s="359">
        <f>'DCF '!L15/'DCF '!L4</f>
        <v>0.37785558931516489</v>
      </c>
    </row>
    <row r="66" spans="2:41" ht="15.6" customHeight="1" x14ac:dyDescent="0.3">
      <c r="B66" s="458" t="s">
        <v>363</v>
      </c>
      <c r="C66" s="458"/>
      <c r="D66" s="458"/>
      <c r="N66" s="170"/>
      <c r="O66" s="170"/>
      <c r="P66" s="170"/>
      <c r="Q66" s="170"/>
      <c r="R66" s="170"/>
      <c r="S66" s="170"/>
      <c r="AC66" s="358" t="s">
        <v>364</v>
      </c>
      <c r="AD66" s="360">
        <f>C21</f>
        <v>0.19709266326959979</v>
      </c>
      <c r="AE66" s="360">
        <f>D21</f>
        <v>0.20476235533874335</v>
      </c>
      <c r="AF66" s="360"/>
      <c r="AG66" s="360"/>
      <c r="AH66" s="360">
        <f t="shared" ref="AH66:AO66" si="19">E21</f>
        <v>0.2124320474078869</v>
      </c>
      <c r="AI66" s="360">
        <f t="shared" si="19"/>
        <v>0.22010173947703046</v>
      </c>
      <c r="AJ66" s="360">
        <f t="shared" si="19"/>
        <v>0.22777143154617402</v>
      </c>
      <c r="AK66" s="360">
        <f t="shared" si="19"/>
        <v>0.23544112361531758</v>
      </c>
      <c r="AL66" s="360">
        <f t="shared" si="19"/>
        <v>0.24311081568446113</v>
      </c>
      <c r="AM66" s="360">
        <f t="shared" si="19"/>
        <v>0.25078050775360472</v>
      </c>
      <c r="AN66" s="360">
        <f t="shared" si="19"/>
        <v>0.25845019982274831</v>
      </c>
      <c r="AO66" s="360">
        <f t="shared" si="19"/>
        <v>0.26611989189189189</v>
      </c>
    </row>
    <row r="67" spans="2:41" x14ac:dyDescent="0.3">
      <c r="B67" s="207" t="s">
        <v>173</v>
      </c>
      <c r="C67" s="207" t="s">
        <v>365</v>
      </c>
      <c r="D67" s="246" t="s">
        <v>366</v>
      </c>
      <c r="N67" s="170"/>
      <c r="O67" s="170"/>
      <c r="P67" s="170"/>
      <c r="Q67" s="170"/>
      <c r="R67" s="170"/>
      <c r="S67" s="170"/>
    </row>
    <row r="68" spans="2:41" x14ac:dyDescent="0.3">
      <c r="B68" s="207" t="s">
        <v>367</v>
      </c>
      <c r="C68" s="207">
        <v>42.462899999999998</v>
      </c>
      <c r="D68" s="219">
        <v>13.68</v>
      </c>
      <c r="N68" s="170"/>
      <c r="O68" s="170"/>
      <c r="P68" s="170"/>
      <c r="Q68" s="170"/>
      <c r="R68" s="170"/>
      <c r="S68" s="170"/>
    </row>
    <row r="69" spans="2:41" x14ac:dyDescent="0.3">
      <c r="B69" s="207" t="s">
        <v>368</v>
      </c>
      <c r="C69" s="207">
        <v>42.180999999999997</v>
      </c>
      <c r="D69" s="219">
        <v>13.46</v>
      </c>
      <c r="N69" s="170"/>
      <c r="O69" s="170"/>
      <c r="P69" s="170"/>
      <c r="Q69" s="170"/>
      <c r="R69" s="170"/>
      <c r="S69" s="170"/>
      <c r="AC69" s="145" t="s">
        <v>369</v>
      </c>
      <c r="AD69" s="145" t="str">
        <f>AD61</f>
        <v xml:space="preserve">2026E </v>
      </c>
      <c r="AE69" s="145" t="str">
        <f>AE61</f>
        <v>2027E</v>
      </c>
      <c r="AF69" s="145"/>
      <c r="AG69" s="145"/>
      <c r="AH69" s="145" t="str">
        <f>AH61</f>
        <v>2028E</v>
      </c>
      <c r="AI69" s="145" t="str">
        <f>AI61</f>
        <v>2029E</v>
      </c>
      <c r="AJ69" s="145" t="str">
        <f>AJ61</f>
        <v>2030E</v>
      </c>
    </row>
    <row r="70" spans="2:41" x14ac:dyDescent="0.3">
      <c r="B70" s="207" t="s">
        <v>370</v>
      </c>
      <c r="C70" s="207">
        <v>43.715200000000003</v>
      </c>
      <c r="D70" s="219">
        <v>13.57</v>
      </c>
      <c r="AC70" s="145" t="s">
        <v>371</v>
      </c>
      <c r="AD70" s="176">
        <f>'DCF '!C24+'DCF '!C20</f>
        <v>4538127.6658765189</v>
      </c>
      <c r="AE70" s="176">
        <f>'DCF '!D24+'DCF '!D20</f>
        <v>5545075.1348744631</v>
      </c>
      <c r="AF70" s="176"/>
      <c r="AG70" s="176"/>
      <c r="AH70" s="176">
        <f>'DCF '!E24+'DCF '!E20</f>
        <v>6685154.9262479246</v>
      </c>
      <c r="AI70" s="176">
        <f>'DCF '!F24+'DCF '!F20</f>
        <v>7951109.9225543384</v>
      </c>
      <c r="AJ70" s="176">
        <f>'DCF '!G24+'DCF '!G20</f>
        <v>9355914.6088444293</v>
      </c>
    </row>
    <row r="71" spans="2:41" x14ac:dyDescent="0.3">
      <c r="B71" s="207" t="s">
        <v>372</v>
      </c>
      <c r="C71" s="207">
        <v>46.842799999999997</v>
      </c>
      <c r="D71" s="219">
        <v>13.53</v>
      </c>
      <c r="AC71" s="145" t="s">
        <v>373</v>
      </c>
      <c r="AD71" s="176">
        <f>'DCF '!C20</f>
        <v>12700000</v>
      </c>
      <c r="AE71" s="176">
        <f>'DCF '!D20</f>
        <v>12075000</v>
      </c>
      <c r="AF71" s="176"/>
      <c r="AG71" s="176"/>
      <c r="AH71" s="176">
        <f>'DCF '!E20</f>
        <v>12075000</v>
      </c>
      <c r="AI71" s="176">
        <f>'DCF '!F20</f>
        <v>12075000</v>
      </c>
      <c r="AJ71" s="176">
        <f>'DCF '!G20</f>
        <v>12075000</v>
      </c>
    </row>
    <row r="72" spans="2:41" x14ac:dyDescent="0.3">
      <c r="B72" s="207" t="s">
        <v>374</v>
      </c>
      <c r="C72" s="207">
        <v>45.978200000000001</v>
      </c>
      <c r="D72" s="219">
        <v>12.46</v>
      </c>
      <c r="AC72" s="145" t="s">
        <v>375</v>
      </c>
      <c r="AD72" s="176">
        <f>'DCF '!C24</f>
        <v>-8161872.3341234811</v>
      </c>
      <c r="AE72" s="176">
        <f>'DCF '!D24</f>
        <v>-6529924.8651255369</v>
      </c>
      <c r="AF72" s="176"/>
      <c r="AG72" s="176"/>
      <c r="AH72" s="176">
        <f>'DCF '!E24</f>
        <v>-5389845.0737520754</v>
      </c>
      <c r="AI72" s="176">
        <f>'DCF '!F24</f>
        <v>-4123890.0774456616</v>
      </c>
      <c r="AJ72" s="176">
        <f>'DCF '!G24</f>
        <v>-2719085.3911555703</v>
      </c>
    </row>
    <row r="73" spans="2:41" x14ac:dyDescent="0.3">
      <c r="B73" s="207" t="s">
        <v>376</v>
      </c>
      <c r="C73" s="207">
        <v>42.994999999999997</v>
      </c>
      <c r="D73" s="219">
        <v>12.11</v>
      </c>
      <c r="P73" s="335" t="s">
        <v>377</v>
      </c>
      <c r="Q73" s="336" t="s">
        <v>378</v>
      </c>
      <c r="R73" s="336" t="s">
        <v>378</v>
      </c>
      <c r="S73" s="336" t="s">
        <v>378</v>
      </c>
      <c r="T73" s="336" t="s">
        <v>378</v>
      </c>
      <c r="U73" s="336" t="s">
        <v>378</v>
      </c>
    </row>
    <row r="74" spans="2:41" x14ac:dyDescent="0.3">
      <c r="B74" s="207" t="s">
        <v>379</v>
      </c>
      <c r="C74" s="207">
        <v>44.351799999999997</v>
      </c>
      <c r="D74" s="219">
        <v>11.96</v>
      </c>
      <c r="P74" s="335" t="s">
        <v>380</v>
      </c>
      <c r="Q74" s="336" t="s">
        <v>381</v>
      </c>
      <c r="R74" s="336" t="s">
        <v>381</v>
      </c>
      <c r="S74" s="336" t="s">
        <v>381</v>
      </c>
      <c r="T74" s="336" t="s">
        <v>381</v>
      </c>
      <c r="U74" s="336" t="s">
        <v>381</v>
      </c>
      <c r="AC74" s="145" t="s">
        <v>369</v>
      </c>
      <c r="AD74" s="145" t="str">
        <f>AK61</f>
        <v>2031E</v>
      </c>
      <c r="AE74" s="145" t="str">
        <f>AL61</f>
        <v>2032E</v>
      </c>
      <c r="AF74" s="145"/>
      <c r="AG74" s="145"/>
      <c r="AH74" s="145" t="str">
        <f>AM61</f>
        <v>2033E</v>
      </c>
      <c r="AI74" s="145" t="str">
        <f>AN61</f>
        <v>2034E</v>
      </c>
      <c r="AJ74" s="145" t="str">
        <f>AO61</f>
        <v>2035E</v>
      </c>
    </row>
    <row r="75" spans="2:41" s="10" customFormat="1" x14ac:dyDescent="0.3">
      <c r="B75" s="207" t="s">
        <v>382</v>
      </c>
      <c r="C75" s="207">
        <v>44.311399999999999</v>
      </c>
      <c r="D75" s="219">
        <v>12.06</v>
      </c>
      <c r="E75" s="141"/>
      <c r="F75" s="141"/>
      <c r="G75" s="141"/>
      <c r="H75" s="141"/>
      <c r="I75" s="141"/>
      <c r="J75" s="141"/>
      <c r="K75" s="141"/>
      <c r="L75" s="141"/>
      <c r="P75" s="334"/>
      <c r="Q75" s="334">
        <v>2021</v>
      </c>
      <c r="R75" s="334">
        <v>2022</v>
      </c>
      <c r="S75" s="334">
        <v>2023</v>
      </c>
      <c r="T75" s="334">
        <v>2024</v>
      </c>
      <c r="U75" s="334">
        <v>2025</v>
      </c>
      <c r="AC75" s="145" t="s">
        <v>371</v>
      </c>
      <c r="AD75" s="176">
        <f>'DCF '!H24+'DCF '!H20</f>
        <v>10620240.776949685</v>
      </c>
      <c r="AE75" s="176">
        <f>'DCF '!I24+'DCF '!I20</f>
        <v>11833161.214514107</v>
      </c>
      <c r="AF75" s="176"/>
      <c r="AG75" s="176"/>
      <c r="AH75" s="176">
        <f>'DCF '!J24+'DCF '!J20</f>
        <v>12973557.735872008</v>
      </c>
      <c r="AI75" s="176">
        <f>'DCF '!K24+'DCF '!K20</f>
        <v>14017343.053422201</v>
      </c>
      <c r="AJ75" s="176">
        <f>'DCF '!L24+'DCF '!L20</f>
        <v>14942745.521283442</v>
      </c>
    </row>
    <row r="76" spans="2:41" s="10" customFormat="1" ht="15" x14ac:dyDescent="0.25">
      <c r="B76" s="207" t="s">
        <v>383</v>
      </c>
      <c r="C76" s="207">
        <v>41.289299999999997</v>
      </c>
      <c r="D76" s="219">
        <v>11.39</v>
      </c>
      <c r="E76" s="14"/>
      <c r="F76" s="14"/>
      <c r="G76" s="14"/>
      <c r="H76" s="14"/>
      <c r="I76" s="14"/>
      <c r="J76" s="14"/>
      <c r="K76" s="14"/>
      <c r="L76" s="14"/>
      <c r="P76" s="334" t="s">
        <v>384</v>
      </c>
      <c r="Q76" s="334">
        <v>3148</v>
      </c>
      <c r="R76" s="334">
        <v>4040</v>
      </c>
      <c r="S76" s="334">
        <v>3523</v>
      </c>
      <c r="T76" s="334">
        <v>3319</v>
      </c>
      <c r="U76" s="334">
        <v>2747</v>
      </c>
      <c r="AC76" s="145" t="s">
        <v>373</v>
      </c>
      <c r="AD76" s="176">
        <f>'DCF '!H20</f>
        <v>11860000</v>
      </c>
      <c r="AE76" s="176">
        <f>'DCF '!I20</f>
        <v>11645000</v>
      </c>
      <c r="AF76" s="176"/>
      <c r="AG76" s="176"/>
      <c r="AH76" s="176">
        <f>'DCF '!J20</f>
        <v>11430000</v>
      </c>
      <c r="AI76" s="176">
        <f>'DCF '!K20</f>
        <v>11215000</v>
      </c>
      <c r="AJ76" s="176">
        <f>'DCF '!L20</f>
        <v>11000000</v>
      </c>
    </row>
    <row r="77" spans="2:41" s="10" customFormat="1" ht="15" x14ac:dyDescent="0.25">
      <c r="B77" s="207" t="s">
        <v>385</v>
      </c>
      <c r="C77" s="207">
        <v>41.947499999999998</v>
      </c>
      <c r="D77" s="219">
        <v>11.96</v>
      </c>
      <c r="E77" s="14"/>
      <c r="F77" s="14"/>
      <c r="G77" s="14"/>
      <c r="H77" s="14"/>
      <c r="I77" s="14"/>
      <c r="J77" s="14"/>
      <c r="K77" s="14"/>
      <c r="L77" s="14"/>
      <c r="P77" s="334" t="s">
        <v>386</v>
      </c>
      <c r="Q77" s="334">
        <v>3459</v>
      </c>
      <c r="R77" s="334">
        <v>4133</v>
      </c>
      <c r="S77" s="334">
        <v>4335</v>
      </c>
      <c r="T77" s="334">
        <v>4255</v>
      </c>
      <c r="U77" s="334">
        <v>3164</v>
      </c>
      <c r="AC77" s="145" t="s">
        <v>375</v>
      </c>
      <c r="AD77" s="176">
        <f>'DCF '!H24</f>
        <v>-1239759.2230503149</v>
      </c>
      <c r="AE77" s="176">
        <f>'DCF '!I24</f>
        <v>188161.21451410651</v>
      </c>
      <c r="AF77" s="176"/>
      <c r="AG77" s="176"/>
      <c r="AH77" s="176">
        <f>'DCF '!J24</f>
        <v>1543557.7358720079</v>
      </c>
      <c r="AI77" s="176">
        <f>'DCF '!K24</f>
        <v>2802343.0534222014</v>
      </c>
      <c r="AJ77" s="176">
        <f>'DCF '!L24</f>
        <v>3942745.5212834422</v>
      </c>
    </row>
    <row r="78" spans="2:41" s="10" customFormat="1" ht="15" x14ac:dyDescent="0.25">
      <c r="B78" s="207" t="s">
        <v>387</v>
      </c>
      <c r="C78" s="207">
        <v>42.681199999999997</v>
      </c>
      <c r="D78" s="219">
        <v>12.42</v>
      </c>
      <c r="E78" s="14"/>
      <c r="F78" s="14"/>
      <c r="G78" s="14"/>
      <c r="H78" s="14"/>
      <c r="I78" s="14"/>
      <c r="J78" s="14"/>
      <c r="K78" s="14"/>
      <c r="L78" s="14"/>
      <c r="P78" s="334" t="s">
        <v>388</v>
      </c>
      <c r="Q78" s="334">
        <v>43894</v>
      </c>
      <c r="R78" s="334">
        <v>47782</v>
      </c>
      <c r="S78" s="334">
        <v>54960</v>
      </c>
      <c r="T78" s="334">
        <v>61437</v>
      </c>
      <c r="U78" s="334">
        <v>49011</v>
      </c>
    </row>
    <row r="79" spans="2:41" x14ac:dyDescent="0.3">
      <c r="B79" s="207" t="s">
        <v>389</v>
      </c>
      <c r="C79" s="207">
        <v>45.978200000000001</v>
      </c>
      <c r="D79" s="219">
        <v>11.98</v>
      </c>
      <c r="E79" s="267"/>
      <c r="F79" s="267"/>
      <c r="G79" s="267"/>
      <c r="H79" s="267"/>
      <c r="I79" s="267"/>
      <c r="J79" s="267"/>
      <c r="K79" s="267"/>
      <c r="L79" s="267"/>
      <c r="P79" s="145" t="s">
        <v>390</v>
      </c>
      <c r="Q79" s="145">
        <v>46855</v>
      </c>
      <c r="R79" s="145">
        <v>51262</v>
      </c>
      <c r="S79" s="145">
        <v>58174</v>
      </c>
      <c r="T79" s="145">
        <v>65762</v>
      </c>
      <c r="U79" s="145">
        <v>53040</v>
      </c>
    </row>
    <row r="80" spans="2:41" x14ac:dyDescent="0.3">
      <c r="B80" s="207" t="s">
        <v>391</v>
      </c>
      <c r="C80" s="207">
        <v>46.406399999999998</v>
      </c>
      <c r="D80" s="219">
        <v>11.7</v>
      </c>
      <c r="P80" s="145"/>
      <c r="Q80" s="145"/>
      <c r="R80" s="145"/>
      <c r="S80" s="145"/>
      <c r="T80" s="145"/>
      <c r="U80" s="145"/>
    </row>
    <row r="81" spans="2:33" x14ac:dyDescent="0.3">
      <c r="B81" s="207" t="s">
        <v>392</v>
      </c>
      <c r="C81" s="207">
        <v>47.456200000000003</v>
      </c>
      <c r="D81" s="219">
        <v>12.02</v>
      </c>
      <c r="P81" s="145" t="s">
        <v>393</v>
      </c>
      <c r="Q81" s="145">
        <v>90438</v>
      </c>
      <c r="R81" s="145">
        <v>98951</v>
      </c>
      <c r="S81" s="145">
        <v>112322</v>
      </c>
      <c r="T81" s="145">
        <v>126263</v>
      </c>
      <c r="U81" s="145">
        <v>101634</v>
      </c>
    </row>
    <row r="82" spans="2:33" x14ac:dyDescent="0.3">
      <c r="B82" s="207" t="s">
        <v>394</v>
      </c>
      <c r="C82" s="207">
        <v>48.924999999999997</v>
      </c>
      <c r="D82" s="219">
        <v>11.97</v>
      </c>
    </row>
    <row r="83" spans="2:33" x14ac:dyDescent="0.3">
      <c r="B83" s="207" t="s">
        <v>395</v>
      </c>
      <c r="C83" s="207">
        <v>47.343000000000004</v>
      </c>
      <c r="D83" s="219">
        <v>12.18</v>
      </c>
      <c r="V83" s="363" t="s">
        <v>396</v>
      </c>
      <c r="W83" s="363"/>
      <c r="X83" s="363"/>
      <c r="Y83" s="363"/>
      <c r="Z83" s="363"/>
      <c r="AA83" s="363"/>
      <c r="AB83" s="363"/>
      <c r="AC83" s="136"/>
      <c r="AD83" s="136"/>
      <c r="AE83" s="136"/>
      <c r="AF83" s="136"/>
      <c r="AG83" s="136"/>
    </row>
    <row r="84" spans="2:33" x14ac:dyDescent="0.3">
      <c r="B84" s="207" t="s">
        <v>397</v>
      </c>
      <c r="C84" s="207">
        <v>47.810499999999998</v>
      </c>
      <c r="D84" s="219">
        <v>12.79</v>
      </c>
    </row>
    <row r="85" spans="2:33" x14ac:dyDescent="0.3">
      <c r="B85" s="207" t="s">
        <v>398</v>
      </c>
      <c r="C85" s="207">
        <v>49.894500000000001</v>
      </c>
      <c r="D85" s="219">
        <v>13.25</v>
      </c>
      <c r="V85" s="36" t="s">
        <v>399</v>
      </c>
      <c r="AC85" s="36" t="s">
        <v>400</v>
      </c>
      <c r="AD85" s="36" t="s">
        <v>401</v>
      </c>
      <c r="AE85" s="36" t="s">
        <v>402</v>
      </c>
    </row>
    <row r="86" spans="2:33" x14ac:dyDescent="0.3">
      <c r="B86" s="207" t="s">
        <v>403</v>
      </c>
      <c r="C86" s="207">
        <v>48.632300000000001</v>
      </c>
      <c r="D86" s="219">
        <v>13.49</v>
      </c>
      <c r="V86" s="36">
        <v>12520000</v>
      </c>
      <c r="AC86" s="36">
        <v>13649000</v>
      </c>
      <c r="AD86" s="36">
        <v>11303000</v>
      </c>
      <c r="AE86" s="36">
        <v>11871000</v>
      </c>
    </row>
    <row r="87" spans="2:33" x14ac:dyDescent="0.3">
      <c r="B87" s="207" t="s">
        <v>404</v>
      </c>
      <c r="C87" s="207">
        <v>50.057499999999997</v>
      </c>
      <c r="D87" s="219">
        <v>14.67</v>
      </c>
    </row>
    <row r="88" spans="2:33" x14ac:dyDescent="0.3">
      <c r="B88" s="207" t="s">
        <v>405</v>
      </c>
      <c r="C88" s="207">
        <v>51.55</v>
      </c>
      <c r="D88" s="219">
        <v>14.9</v>
      </c>
    </row>
    <row r="89" spans="2:33" x14ac:dyDescent="0.3">
      <c r="B89" s="207" t="s">
        <v>406</v>
      </c>
      <c r="C89" s="207">
        <v>45.901400000000002</v>
      </c>
      <c r="D89" s="219">
        <v>14.7</v>
      </c>
    </row>
    <row r="90" spans="2:33" x14ac:dyDescent="0.3">
      <c r="B90" s="207" t="s">
        <v>407</v>
      </c>
      <c r="C90" s="207">
        <v>45.9467</v>
      </c>
      <c r="D90" s="219">
        <v>14.45</v>
      </c>
    </row>
    <row r="91" spans="2:33" x14ac:dyDescent="0.3">
      <c r="B91" s="207" t="s">
        <v>408</v>
      </c>
      <c r="C91" s="207">
        <v>46.781799999999997</v>
      </c>
      <c r="D91" s="219">
        <v>14.55</v>
      </c>
    </row>
    <row r="92" spans="2:33" x14ac:dyDescent="0.3">
      <c r="B92" s="207" t="s">
        <v>409</v>
      </c>
      <c r="C92" s="207">
        <v>48.136200000000002</v>
      </c>
      <c r="D92" s="219">
        <v>14.64</v>
      </c>
    </row>
    <row r="93" spans="2:33" x14ac:dyDescent="0.3">
      <c r="B93" s="207" t="s">
        <v>410</v>
      </c>
      <c r="C93" s="207">
        <v>48.394399999999997</v>
      </c>
      <c r="D93" s="219">
        <v>14.92</v>
      </c>
    </row>
    <row r="94" spans="2:33" x14ac:dyDescent="0.3">
      <c r="B94" s="207" t="s">
        <v>411</v>
      </c>
      <c r="C94" s="207">
        <v>46.107799999999997</v>
      </c>
      <c r="D94" s="219">
        <v>15.46</v>
      </c>
      <c r="E94" s="281"/>
      <c r="F94" s="281"/>
      <c r="G94" s="281"/>
      <c r="H94" s="281"/>
      <c r="I94" s="281"/>
      <c r="J94" s="281"/>
      <c r="K94" s="281"/>
      <c r="L94" s="281"/>
    </row>
    <row r="95" spans="2:33" x14ac:dyDescent="0.3">
      <c r="B95" s="207" t="s">
        <v>412</v>
      </c>
      <c r="C95" s="207">
        <v>50.652999999999999</v>
      </c>
      <c r="D95" s="219">
        <v>15.56</v>
      </c>
    </row>
    <row r="96" spans="2:33" x14ac:dyDescent="0.3">
      <c r="B96" s="207" t="s">
        <v>413</v>
      </c>
      <c r="C96" s="207">
        <v>50.427</v>
      </c>
      <c r="D96" s="219">
        <v>14.94</v>
      </c>
    </row>
    <row r="97" spans="2:14" x14ac:dyDescent="0.3">
      <c r="B97" s="207" t="s">
        <v>414</v>
      </c>
      <c r="C97" s="207">
        <v>50.638500000000001</v>
      </c>
      <c r="D97" s="219">
        <v>14.89</v>
      </c>
    </row>
    <row r="98" spans="2:14" x14ac:dyDescent="0.3">
      <c r="B98" s="207" t="s">
        <v>415</v>
      </c>
      <c r="C98" s="207">
        <v>50.022500000000001</v>
      </c>
      <c r="D98" s="219">
        <v>14.68</v>
      </c>
    </row>
    <row r="99" spans="2:14" x14ac:dyDescent="0.3">
      <c r="B99" s="207" t="s">
        <v>416</v>
      </c>
      <c r="C99" s="207">
        <v>48.418500000000002</v>
      </c>
      <c r="D99" s="219">
        <v>13.45</v>
      </c>
    </row>
    <row r="100" spans="2:14" x14ac:dyDescent="0.3">
      <c r="B100" s="207" t="s">
        <v>417</v>
      </c>
      <c r="C100" s="207">
        <v>50.662999999999997</v>
      </c>
      <c r="D100" s="219">
        <v>13.22</v>
      </c>
    </row>
    <row r="101" spans="2:14" x14ac:dyDescent="0.3">
      <c r="B101" s="207" t="s">
        <v>418</v>
      </c>
      <c r="C101" s="207">
        <v>47.968200000000003</v>
      </c>
      <c r="D101" s="219">
        <v>13.03</v>
      </c>
    </row>
    <row r="102" spans="2:14" x14ac:dyDescent="0.3">
      <c r="B102" s="207" t="s">
        <v>419</v>
      </c>
      <c r="C102" s="207">
        <v>51.865499999999997</v>
      </c>
      <c r="D102" s="219">
        <v>13.4</v>
      </c>
    </row>
    <row r="103" spans="2:14" x14ac:dyDescent="0.3">
      <c r="B103" s="207" t="s">
        <v>420</v>
      </c>
      <c r="C103" s="207">
        <v>53.407499999999999</v>
      </c>
      <c r="D103" s="219">
        <v>12.99</v>
      </c>
    </row>
    <row r="104" spans="2:14" x14ac:dyDescent="0.3">
      <c r="B104" s="207" t="s">
        <v>421</v>
      </c>
      <c r="C104" s="207">
        <v>56.250500000000002</v>
      </c>
      <c r="D104" s="219">
        <v>12.61</v>
      </c>
    </row>
    <row r="105" spans="2:14" x14ac:dyDescent="0.3">
      <c r="B105" s="207" t="s">
        <v>422</v>
      </c>
      <c r="C105" s="207">
        <v>57.166499999999999</v>
      </c>
      <c r="D105" s="219">
        <v>12.63</v>
      </c>
    </row>
    <row r="106" spans="2:14" x14ac:dyDescent="0.3">
      <c r="B106" s="207" t="s">
        <v>423</v>
      </c>
      <c r="C106" s="207">
        <v>58.743000000000002</v>
      </c>
      <c r="D106" s="219">
        <v>12.98</v>
      </c>
    </row>
    <row r="107" spans="2:14" x14ac:dyDescent="0.3">
      <c r="B107" s="207" t="s">
        <v>424</v>
      </c>
      <c r="C107" s="207">
        <v>61.4285</v>
      </c>
      <c r="D107" s="219">
        <v>13.08</v>
      </c>
    </row>
    <row r="108" spans="2:14" x14ac:dyDescent="0.3">
      <c r="B108" s="207" t="s">
        <v>425</v>
      </c>
      <c r="C108" s="207">
        <v>60.945500000000003</v>
      </c>
      <c r="D108" s="219">
        <v>14.58</v>
      </c>
    </row>
    <row r="109" spans="2:14" x14ac:dyDescent="0.3">
      <c r="B109" s="207" t="s">
        <v>426</v>
      </c>
      <c r="C109" s="207">
        <v>63.738999999999997</v>
      </c>
      <c r="D109" s="219">
        <v>15.29</v>
      </c>
    </row>
    <row r="110" spans="2:14" x14ac:dyDescent="0.3">
      <c r="B110" s="207" t="s">
        <v>427</v>
      </c>
      <c r="C110" s="207">
        <v>66.897000000000006</v>
      </c>
      <c r="D110" s="219">
        <v>15.72</v>
      </c>
    </row>
    <row r="111" spans="2:14" x14ac:dyDescent="0.3">
      <c r="B111" s="207" t="s">
        <v>428</v>
      </c>
      <c r="C111" s="207">
        <v>65.478499999999997</v>
      </c>
      <c r="D111" s="219">
        <v>16.100000000000001</v>
      </c>
      <c r="N111" s="2"/>
    </row>
    <row r="112" spans="2:14" x14ac:dyDescent="0.3">
      <c r="B112" s="207" t="s">
        <v>429</v>
      </c>
      <c r="C112" s="207">
        <v>66.734499999999997</v>
      </c>
      <c r="D112" s="219">
        <v>16.16</v>
      </c>
      <c r="F112" s="269"/>
      <c r="G112" s="2"/>
      <c r="H112" s="2"/>
      <c r="I112" s="269"/>
      <c r="J112" s="269"/>
      <c r="K112" s="269"/>
      <c r="L112" s="269"/>
      <c r="N112" s="2"/>
    </row>
    <row r="113" spans="2:45" x14ac:dyDescent="0.3">
      <c r="B113" s="207" t="s">
        <v>430</v>
      </c>
      <c r="C113" s="207">
        <v>69.08</v>
      </c>
      <c r="D113" s="219">
        <v>16.07</v>
      </c>
      <c r="F113" s="269"/>
      <c r="G113" s="2"/>
      <c r="H113" s="2"/>
      <c r="I113" s="269"/>
      <c r="J113" s="269"/>
      <c r="K113" s="269"/>
      <c r="L113" s="269"/>
      <c r="N113" s="280"/>
    </row>
    <row r="114" spans="2:45" s="10" customFormat="1" x14ac:dyDescent="0.3">
      <c r="B114" s="207" t="s">
        <v>431</v>
      </c>
      <c r="C114" s="207">
        <v>73.263000000000005</v>
      </c>
      <c r="D114" s="219">
        <v>15.53</v>
      </c>
      <c r="E114" s="1"/>
      <c r="F114" s="140"/>
      <c r="G114" s="280"/>
      <c r="H114" s="280"/>
      <c r="I114" s="140"/>
      <c r="J114" s="140"/>
      <c r="K114" s="140"/>
      <c r="L114" s="140"/>
      <c r="N114" s="270"/>
    </row>
    <row r="115" spans="2:45" s="10" customFormat="1" ht="15" x14ac:dyDescent="0.25">
      <c r="B115" s="207" t="s">
        <v>432</v>
      </c>
      <c r="C115" s="207">
        <v>63.749000000000002</v>
      </c>
      <c r="D115" s="219">
        <v>15.42</v>
      </c>
      <c r="F115" s="271"/>
      <c r="G115" s="11"/>
      <c r="H115" s="11"/>
      <c r="I115" s="271"/>
      <c r="J115" s="271"/>
      <c r="K115" s="271"/>
      <c r="L115" s="271"/>
      <c r="N115" s="270"/>
    </row>
    <row r="116" spans="2:45" s="10" customFormat="1" ht="15" x14ac:dyDescent="0.25">
      <c r="B116" s="207" t="s">
        <v>433</v>
      </c>
      <c r="C116" s="207">
        <v>52.067500000000003</v>
      </c>
      <c r="D116" s="219">
        <v>15.35</v>
      </c>
      <c r="F116" s="271"/>
      <c r="G116" s="11"/>
      <c r="H116" s="11"/>
      <c r="I116" s="271"/>
      <c r="J116" s="271"/>
      <c r="K116" s="271"/>
      <c r="L116" s="271"/>
      <c r="N116" s="270"/>
    </row>
    <row r="117" spans="2:45" s="10" customFormat="1" ht="15" x14ac:dyDescent="0.25">
      <c r="B117" s="207" t="s">
        <v>434</v>
      </c>
      <c r="C117" s="207">
        <v>57.063499999999998</v>
      </c>
      <c r="D117" s="219">
        <v>15.58</v>
      </c>
      <c r="F117" s="271"/>
      <c r="G117" s="11"/>
      <c r="H117" s="11"/>
      <c r="I117" s="271"/>
      <c r="J117" s="271"/>
      <c r="K117" s="271"/>
      <c r="L117" s="271"/>
      <c r="N117" s="270"/>
    </row>
    <row r="118" spans="2:45" s="10" customFormat="1" ht="15.6" customHeight="1" x14ac:dyDescent="0.25">
      <c r="B118" s="207" t="s">
        <v>435</v>
      </c>
      <c r="C118" s="207">
        <v>58.1965</v>
      </c>
      <c r="D118" s="219">
        <v>15.6</v>
      </c>
      <c r="F118" s="271"/>
      <c r="G118" s="11"/>
      <c r="H118" s="11"/>
      <c r="I118" s="271"/>
      <c r="J118" s="271"/>
      <c r="K118" s="271"/>
      <c r="L118" s="457"/>
      <c r="M118" s="457"/>
      <c r="N118" s="457"/>
    </row>
    <row r="119" spans="2:45" s="10" customFormat="1" ht="15" x14ac:dyDescent="0.25">
      <c r="B119" s="207" t="s">
        <v>436</v>
      </c>
      <c r="C119" s="207">
        <v>54.491</v>
      </c>
      <c r="D119" s="219">
        <v>15.84</v>
      </c>
      <c r="F119" s="271"/>
      <c r="G119" s="11"/>
      <c r="H119" s="11"/>
      <c r="I119" s="271"/>
      <c r="J119" s="271"/>
      <c r="K119" s="271"/>
      <c r="L119" s="282"/>
      <c r="M119" s="282"/>
      <c r="N119" s="246"/>
    </row>
    <row r="120" spans="2:45" s="10" customFormat="1" ht="15" x14ac:dyDescent="0.25">
      <c r="B120" s="207" t="s">
        <v>437</v>
      </c>
      <c r="C120" s="207">
        <v>57.846499999999999</v>
      </c>
      <c r="D120" s="219">
        <v>15.07</v>
      </c>
      <c r="F120" s="271"/>
      <c r="G120" s="11"/>
      <c r="H120" s="11"/>
      <c r="I120" s="271"/>
      <c r="J120" s="271"/>
      <c r="K120" s="271"/>
      <c r="L120" s="282"/>
      <c r="M120" s="282"/>
      <c r="N120" s="219"/>
    </row>
    <row r="121" spans="2:45" s="10" customFormat="1" ht="15" x14ac:dyDescent="0.25">
      <c r="B121" s="207" t="s">
        <v>438</v>
      </c>
      <c r="C121" s="207">
        <v>57.481999999999999</v>
      </c>
      <c r="D121" s="219">
        <v>15.29</v>
      </c>
      <c r="F121" s="271"/>
      <c r="G121" s="11"/>
      <c r="H121" s="11"/>
      <c r="I121" s="271"/>
      <c r="J121" s="271"/>
      <c r="K121" s="271"/>
      <c r="L121" s="282"/>
      <c r="M121" s="282"/>
      <c r="N121" s="219"/>
    </row>
    <row r="122" spans="2:45" s="10" customFormat="1" ht="15" x14ac:dyDescent="0.25">
      <c r="B122" s="207" t="s">
        <v>439</v>
      </c>
      <c r="C122" s="207">
        <v>55.515999999999998</v>
      </c>
      <c r="D122" s="219">
        <v>15.44</v>
      </c>
      <c r="F122" s="271"/>
      <c r="G122" s="11"/>
      <c r="H122" s="11"/>
      <c r="I122" s="271"/>
      <c r="J122" s="271"/>
      <c r="K122" s="271"/>
      <c r="L122" s="282"/>
      <c r="M122" s="282"/>
      <c r="N122" s="219"/>
    </row>
    <row r="123" spans="2:45" s="10" customFormat="1" ht="15" x14ac:dyDescent="0.25">
      <c r="B123" s="207" t="s">
        <v>440</v>
      </c>
      <c r="C123" s="207">
        <v>58.802</v>
      </c>
      <c r="D123" s="219">
        <v>15.2</v>
      </c>
      <c r="F123" s="271"/>
      <c r="G123" s="11"/>
      <c r="H123" s="11"/>
      <c r="I123" s="271"/>
      <c r="J123" s="271"/>
      <c r="K123" s="271"/>
      <c r="L123" s="282"/>
      <c r="M123" s="282"/>
      <c r="N123" s="219"/>
    </row>
    <row r="124" spans="2:45" s="10" customFormat="1" ht="15" x14ac:dyDescent="0.25">
      <c r="B124" s="207" t="s">
        <v>441</v>
      </c>
      <c r="C124" s="207">
        <v>59.798000000000002</v>
      </c>
      <c r="D124" s="219">
        <v>15.47</v>
      </c>
      <c r="F124" s="271"/>
      <c r="G124" s="11"/>
      <c r="H124" s="11"/>
      <c r="I124" s="271"/>
      <c r="J124" s="271"/>
      <c r="K124" s="271"/>
      <c r="L124" s="282"/>
      <c r="M124" s="282"/>
      <c r="N124" s="219"/>
    </row>
    <row r="125" spans="2:45" s="10" customFormat="1" ht="15" x14ac:dyDescent="0.25">
      <c r="B125" s="207" t="s">
        <v>442</v>
      </c>
      <c r="C125" s="207">
        <v>60.2605</v>
      </c>
      <c r="D125" s="219">
        <v>15.61</v>
      </c>
      <c r="F125" s="271"/>
      <c r="G125" s="11"/>
      <c r="H125" s="11"/>
      <c r="I125" s="271"/>
      <c r="J125" s="271"/>
      <c r="K125" s="271"/>
      <c r="L125" s="282"/>
      <c r="M125" s="282"/>
      <c r="N125" s="219"/>
    </row>
    <row r="126" spans="2:45" s="186" customFormat="1" ht="15" x14ac:dyDescent="0.25">
      <c r="B126" s="207" t="s">
        <v>443</v>
      </c>
      <c r="C126" s="207">
        <v>58.531500000000001</v>
      </c>
      <c r="D126" s="219">
        <v>14.32</v>
      </c>
      <c r="E126" s="10"/>
      <c r="F126" s="271"/>
      <c r="G126" s="11"/>
      <c r="H126" s="11"/>
      <c r="I126" s="271"/>
      <c r="J126" s="271"/>
      <c r="K126" s="271"/>
      <c r="L126" s="282"/>
      <c r="M126" s="282"/>
      <c r="N126" s="219"/>
      <c r="O126" s="10"/>
      <c r="P126" s="10"/>
      <c r="Q126" s="10"/>
      <c r="R126" s="10"/>
      <c r="S126" s="10"/>
      <c r="T126" s="10"/>
      <c r="U126" s="10"/>
      <c r="V126" s="10"/>
      <c r="W126" s="10"/>
      <c r="X126" s="10"/>
      <c r="Y126" s="10"/>
      <c r="Z126" s="10"/>
      <c r="AA126" s="10"/>
      <c r="AB126" s="10"/>
      <c r="AC126" s="10"/>
      <c r="AD126" s="10"/>
      <c r="AE126" s="10"/>
      <c r="AF126" s="10"/>
      <c r="AG126" s="10"/>
      <c r="AH126" s="10"/>
      <c r="AI126" s="10"/>
      <c r="AJ126" s="10"/>
      <c r="AK126" s="10"/>
      <c r="AL126" s="10"/>
      <c r="AM126" s="10"/>
      <c r="AN126" s="10"/>
      <c r="AO126" s="10"/>
      <c r="AP126" s="10"/>
      <c r="AQ126" s="10"/>
      <c r="AR126" s="10"/>
      <c r="AS126" s="10"/>
    </row>
    <row r="127" spans="2:45" s="186" customFormat="1" ht="15" x14ac:dyDescent="0.25">
      <c r="B127" s="207" t="s">
        <v>444</v>
      </c>
      <c r="C127" s="207">
        <v>54.841000000000001</v>
      </c>
      <c r="D127" s="219">
        <v>14.52</v>
      </c>
      <c r="E127" s="10"/>
      <c r="F127" s="271"/>
      <c r="G127" s="11"/>
      <c r="H127" s="11"/>
      <c r="I127" s="271"/>
      <c r="J127" s="271"/>
      <c r="K127" s="271"/>
      <c r="L127" s="282"/>
      <c r="M127" s="282"/>
      <c r="N127" s="219"/>
      <c r="O127" s="10"/>
      <c r="P127" s="10"/>
      <c r="Q127" s="10"/>
      <c r="R127" s="10"/>
      <c r="S127" s="10"/>
      <c r="T127" s="10"/>
      <c r="U127" s="10"/>
      <c r="V127" s="10"/>
      <c r="W127" s="10"/>
      <c r="X127" s="10"/>
      <c r="Y127" s="10"/>
      <c r="Z127" s="10"/>
      <c r="AA127" s="10"/>
      <c r="AB127" s="10"/>
      <c r="AC127" s="10"/>
      <c r="AD127" s="10"/>
      <c r="AE127" s="10"/>
      <c r="AF127" s="10"/>
      <c r="AG127" s="10"/>
      <c r="AH127" s="10"/>
      <c r="AI127" s="10"/>
      <c r="AJ127" s="10"/>
      <c r="AK127" s="10"/>
      <c r="AL127" s="10"/>
      <c r="AM127" s="10"/>
      <c r="AN127" s="10"/>
      <c r="AO127" s="10"/>
      <c r="AP127" s="10"/>
      <c r="AQ127" s="10"/>
      <c r="AR127" s="10"/>
      <c r="AS127" s="10"/>
    </row>
    <row r="128" spans="2:45" s="186" customFormat="1" ht="15" x14ac:dyDescent="0.25">
      <c r="B128" s="207" t="s">
        <v>445</v>
      </c>
      <c r="C128" s="207">
        <v>63.231499999999997</v>
      </c>
      <c r="D128" s="219">
        <v>14.82</v>
      </c>
      <c r="E128" s="10"/>
      <c r="F128" s="271"/>
      <c r="G128" s="11"/>
      <c r="H128" s="11"/>
      <c r="I128" s="271"/>
      <c r="J128" s="271"/>
      <c r="K128" s="271"/>
      <c r="L128" s="282"/>
      <c r="M128" s="282"/>
      <c r="N128" s="219"/>
      <c r="O128" s="10"/>
      <c r="P128" s="10"/>
      <c r="Q128" s="10"/>
      <c r="R128" s="10"/>
      <c r="S128" s="10"/>
      <c r="T128" s="10"/>
      <c r="U128" s="10"/>
      <c r="V128" s="10"/>
      <c r="W128" s="10"/>
      <c r="X128" s="10"/>
      <c r="Y128" s="10"/>
      <c r="Z128" s="10"/>
      <c r="AA128" s="10"/>
      <c r="AB128" s="10"/>
      <c r="AC128" s="10"/>
      <c r="AD128" s="10"/>
      <c r="AE128" s="10"/>
      <c r="AF128" s="10"/>
      <c r="AG128" s="10"/>
      <c r="AH128" s="10"/>
      <c r="AI128" s="10"/>
      <c r="AJ128" s="10"/>
      <c r="AK128" s="10"/>
      <c r="AL128" s="10"/>
      <c r="AM128" s="10"/>
      <c r="AN128" s="10"/>
      <c r="AO128" s="10"/>
      <c r="AP128" s="10"/>
      <c r="AQ128" s="10"/>
      <c r="AR128" s="10"/>
      <c r="AS128" s="10"/>
    </row>
    <row r="129" spans="2:45" s="186" customFormat="1" x14ac:dyDescent="0.3">
      <c r="B129" s="207" t="s">
        <v>446</v>
      </c>
      <c r="C129" s="207">
        <v>65.616500000000002</v>
      </c>
      <c r="D129" s="219">
        <v>15.01</v>
      </c>
      <c r="E129" s="10"/>
      <c r="F129" s="271"/>
      <c r="G129" s="11"/>
      <c r="H129" s="11"/>
      <c r="I129" s="271"/>
      <c r="J129" s="429" t="s">
        <v>230</v>
      </c>
      <c r="K129" s="430" t="s">
        <v>447</v>
      </c>
      <c r="L129" s="431" t="s">
        <v>448</v>
      </c>
      <c r="M129" s="282"/>
      <c r="N129" s="219"/>
      <c r="O129" s="10"/>
      <c r="P129" s="10"/>
      <c r="Q129" s="10"/>
      <c r="R129" s="10"/>
      <c r="S129" s="10"/>
      <c r="T129" s="10"/>
      <c r="U129" s="10"/>
      <c r="V129" s="10"/>
      <c r="W129" s="10"/>
      <c r="X129" s="10"/>
      <c r="Y129" s="10"/>
      <c r="Z129" s="10"/>
      <c r="AA129" s="10"/>
      <c r="AB129" s="10"/>
      <c r="AC129" s="10"/>
      <c r="AD129" s="10"/>
      <c r="AE129" s="10"/>
      <c r="AF129" s="10"/>
      <c r="AG129" s="10"/>
      <c r="AH129" s="10"/>
      <c r="AI129" s="10"/>
      <c r="AJ129" s="10"/>
      <c r="AK129" s="10"/>
      <c r="AL129" s="10"/>
      <c r="AM129" s="10"/>
      <c r="AN129" s="10"/>
      <c r="AO129" s="10"/>
      <c r="AP129" s="10"/>
      <c r="AQ129" s="10"/>
      <c r="AR129" s="10"/>
      <c r="AS129" s="10"/>
    </row>
    <row r="130" spans="2:45" s="186" customFormat="1" x14ac:dyDescent="0.3">
      <c r="B130" s="207" t="s">
        <v>449</v>
      </c>
      <c r="C130" s="207">
        <v>64.620999999999995</v>
      </c>
      <c r="D130" s="219">
        <v>13.67</v>
      </c>
      <c r="E130" s="10"/>
      <c r="F130" s="271"/>
      <c r="G130" s="11"/>
      <c r="H130" s="11"/>
      <c r="I130" s="271"/>
      <c r="J130" s="429" t="s">
        <v>450</v>
      </c>
      <c r="K130" s="432">
        <v>95.5</v>
      </c>
      <c r="L130" s="433">
        <v>0.5</v>
      </c>
      <c r="M130" s="282"/>
      <c r="N130" s="219"/>
      <c r="O130" s="10"/>
      <c r="P130" s="10"/>
      <c r="Q130" s="10"/>
      <c r="R130" s="10"/>
      <c r="S130" s="10"/>
      <c r="T130" s="10"/>
      <c r="U130" s="10"/>
      <c r="V130" s="10"/>
      <c r="W130" s="10"/>
      <c r="X130" s="10"/>
      <c r="Y130" s="10"/>
      <c r="Z130" s="10"/>
      <c r="AA130" s="10"/>
      <c r="AB130" s="10"/>
      <c r="AC130" s="10"/>
      <c r="AD130" s="10"/>
      <c r="AE130" s="10"/>
      <c r="AF130" s="10"/>
      <c r="AG130" s="10"/>
      <c r="AH130" s="10"/>
      <c r="AI130" s="10"/>
      <c r="AJ130" s="10"/>
      <c r="AK130" s="10"/>
      <c r="AL130" s="10"/>
      <c r="AM130" s="10"/>
      <c r="AN130" s="10"/>
      <c r="AO130" s="10"/>
      <c r="AP130" s="10"/>
      <c r="AQ130" s="10"/>
      <c r="AR130" s="10"/>
      <c r="AS130" s="10"/>
    </row>
    <row r="131" spans="2:45" s="186" customFormat="1" x14ac:dyDescent="0.3">
      <c r="B131" s="207" t="s">
        <v>451</v>
      </c>
      <c r="C131" s="207">
        <v>63.1875</v>
      </c>
      <c r="D131" s="219">
        <v>13.89</v>
      </c>
      <c r="E131" s="10"/>
      <c r="F131" s="271"/>
      <c r="G131" s="11"/>
      <c r="H131" s="11"/>
      <c r="I131" s="271"/>
      <c r="J131" s="429" t="s">
        <v>452</v>
      </c>
      <c r="K131" s="432">
        <v>87.22</v>
      </c>
      <c r="L131" s="433">
        <v>0.25</v>
      </c>
      <c r="M131" s="282"/>
      <c r="N131" s="219"/>
      <c r="O131" s="10"/>
      <c r="P131" s="10"/>
      <c r="Q131" s="10"/>
      <c r="R131" s="10"/>
      <c r="S131" s="10"/>
      <c r="T131" s="10"/>
      <c r="U131" s="10"/>
      <c r="V131" s="10"/>
      <c r="W131" s="10"/>
      <c r="X131" s="10"/>
      <c r="Y131" s="10"/>
      <c r="Z131" s="10"/>
      <c r="AA131" s="10"/>
      <c r="AB131" s="10"/>
      <c r="AC131" s="10"/>
      <c r="AD131" s="10"/>
      <c r="AE131" s="10"/>
      <c r="AF131" s="10"/>
      <c r="AG131" s="10"/>
      <c r="AH131" s="10"/>
      <c r="AI131" s="10"/>
      <c r="AJ131" s="10"/>
      <c r="AK131" s="10"/>
      <c r="AL131" s="10"/>
      <c r="AM131" s="10"/>
      <c r="AN131" s="10"/>
      <c r="AO131" s="10"/>
      <c r="AP131" s="10"/>
      <c r="AQ131" s="10"/>
      <c r="AR131" s="10"/>
      <c r="AS131" s="10"/>
    </row>
    <row r="132" spans="2:45" s="186" customFormat="1" x14ac:dyDescent="0.3">
      <c r="B132" s="207" t="s">
        <v>453</v>
      </c>
      <c r="C132" s="207">
        <v>62.828000000000003</v>
      </c>
      <c r="D132" s="219">
        <v>12.91</v>
      </c>
      <c r="E132" s="10"/>
      <c r="F132" s="271"/>
      <c r="G132" s="11"/>
      <c r="H132" s="11"/>
      <c r="I132" s="271"/>
      <c r="J132" s="429" t="s">
        <v>454</v>
      </c>
      <c r="K132" s="432">
        <v>78.209999999999994</v>
      </c>
      <c r="L132" s="433">
        <v>0.15</v>
      </c>
      <c r="M132" s="282"/>
      <c r="N132" s="219"/>
      <c r="O132" s="10"/>
      <c r="P132" s="10"/>
      <c r="Q132" s="10"/>
      <c r="R132" s="10"/>
      <c r="S132" s="10"/>
      <c r="T132" s="10"/>
      <c r="U132" s="10"/>
      <c r="V132" s="10"/>
      <c r="W132" s="10"/>
      <c r="X132" s="10"/>
      <c r="Y132" s="10"/>
      <c r="Z132" s="10"/>
      <c r="AA132" s="10"/>
      <c r="AB132" s="10"/>
      <c r="AC132" s="10"/>
      <c r="AD132" s="10"/>
      <c r="AE132" s="10"/>
      <c r="AF132" s="10"/>
      <c r="AG132" s="10"/>
      <c r="AH132" s="10"/>
      <c r="AI132" s="10"/>
      <c r="AJ132" s="10"/>
      <c r="AK132" s="10"/>
      <c r="AL132" s="10"/>
      <c r="AM132" s="10"/>
      <c r="AN132" s="10"/>
      <c r="AO132" s="10"/>
      <c r="AP132" s="10"/>
      <c r="AQ132" s="10"/>
      <c r="AR132" s="10"/>
      <c r="AS132" s="10"/>
    </row>
    <row r="133" spans="2:45" s="186" customFormat="1" x14ac:dyDescent="0.3">
      <c r="B133" s="207" t="s">
        <v>455</v>
      </c>
      <c r="C133" s="207">
        <v>63.655500000000004</v>
      </c>
      <c r="D133" s="219">
        <v>12.92</v>
      </c>
      <c r="E133" s="10"/>
      <c r="F133" s="271"/>
      <c r="G133" s="11"/>
      <c r="H133" s="11"/>
      <c r="I133" s="271"/>
      <c r="J133" s="429" t="s">
        <v>456</v>
      </c>
      <c r="K133" s="432">
        <v>107</v>
      </c>
      <c r="L133" s="433">
        <v>0.1</v>
      </c>
      <c r="M133" s="282"/>
      <c r="N133" s="219"/>
      <c r="O133" s="10"/>
      <c r="P133" s="10"/>
      <c r="Q133" s="10"/>
      <c r="R133" s="10"/>
      <c r="S133" s="10"/>
      <c r="T133" s="10"/>
      <c r="U133" s="10"/>
      <c r="V133" s="10"/>
      <c r="W133" s="10"/>
      <c r="X133" s="10"/>
      <c r="Y133" s="10"/>
      <c r="Z133" s="10"/>
      <c r="AA133" s="10"/>
      <c r="AB133" s="10"/>
      <c r="AC133" s="10"/>
      <c r="AD133" s="10"/>
      <c r="AE133" s="10"/>
      <c r="AF133" s="10"/>
      <c r="AG133" s="10"/>
      <c r="AH133" s="10"/>
      <c r="AI133" s="10"/>
      <c r="AJ133" s="10"/>
      <c r="AK133" s="10"/>
      <c r="AL133" s="10"/>
      <c r="AM133" s="10"/>
      <c r="AN133" s="10"/>
      <c r="AO133" s="10"/>
      <c r="AP133" s="10"/>
      <c r="AQ133" s="10"/>
      <c r="AR133" s="10"/>
      <c r="AS133" s="10"/>
    </row>
    <row r="134" spans="2:45" s="186" customFormat="1" x14ac:dyDescent="0.3">
      <c r="B134" s="207" t="s">
        <v>457</v>
      </c>
      <c r="C134" s="207">
        <v>61.349499999999999</v>
      </c>
      <c r="D134" s="219">
        <v>12.82</v>
      </c>
      <c r="E134" s="10"/>
      <c r="F134" s="271"/>
      <c r="G134" s="11"/>
      <c r="H134" s="11"/>
      <c r="I134" s="271"/>
      <c r="J134" s="429" t="s">
        <v>458</v>
      </c>
      <c r="K134" s="434">
        <f>(95.5*0.5)+(87.22*0.25)+(78.21*0.15)+(107*0.1)</f>
        <v>91.986500000000007</v>
      </c>
      <c r="L134" s="435">
        <v>1</v>
      </c>
      <c r="M134" s="282"/>
      <c r="N134" s="219"/>
      <c r="O134" s="10"/>
      <c r="P134" s="10"/>
      <c r="Q134" s="10"/>
      <c r="R134" s="10"/>
      <c r="S134" s="10"/>
      <c r="T134" s="10"/>
      <c r="U134" s="10"/>
      <c r="V134" s="363" t="s">
        <v>459</v>
      </c>
      <c r="W134" s="363"/>
      <c r="X134" s="363"/>
      <c r="Y134" s="363"/>
      <c r="Z134" s="363"/>
      <c r="AA134" s="363"/>
      <c r="AB134" s="363"/>
      <c r="AC134" s="369"/>
      <c r="AD134" s="369"/>
      <c r="AE134" s="369"/>
      <c r="AF134" s="369"/>
      <c r="AG134" s="369"/>
      <c r="AH134" s="369"/>
      <c r="AI134" s="369"/>
      <c r="AJ134" s="10"/>
      <c r="AK134" s="363" t="s">
        <v>460</v>
      </c>
      <c r="AL134" s="369"/>
      <c r="AM134" s="369"/>
      <c r="AN134" s="369"/>
      <c r="AO134" s="369"/>
      <c r="AP134" s="369"/>
      <c r="AQ134" s="369"/>
      <c r="AR134" s="369"/>
      <c r="AS134" s="10"/>
    </row>
    <row r="135" spans="2:45" s="186" customFormat="1" ht="15" customHeight="1" x14ac:dyDescent="0.3">
      <c r="B135" s="207" t="s">
        <v>461</v>
      </c>
      <c r="C135" s="207">
        <v>61.896500000000003</v>
      </c>
      <c r="D135" s="219">
        <v>11.6</v>
      </c>
      <c r="E135" s="10"/>
      <c r="F135" s="271"/>
      <c r="G135" s="11"/>
      <c r="H135" s="11"/>
      <c r="I135" s="271"/>
      <c r="J135" s="429" t="s">
        <v>462</v>
      </c>
      <c r="K135" s="434">
        <f>K134*0.9</f>
        <v>82.787850000000006</v>
      </c>
      <c r="L135" s="436"/>
      <c r="M135" s="282"/>
      <c r="N135" s="219"/>
      <c r="O135" s="10"/>
      <c r="P135" s="10"/>
      <c r="Q135" s="10"/>
      <c r="R135" s="10"/>
      <c r="S135" s="10"/>
      <c r="T135" s="10"/>
      <c r="U135" s="10"/>
      <c r="V135" s="10"/>
      <c r="W135" s="10"/>
      <c r="X135" s="10"/>
      <c r="Y135" s="10"/>
      <c r="Z135" s="10"/>
      <c r="AA135" s="10"/>
      <c r="AB135" s="10"/>
      <c r="AC135" s="10"/>
      <c r="AD135" s="10"/>
      <c r="AE135" s="10"/>
      <c r="AF135" s="10"/>
      <c r="AG135" s="10"/>
      <c r="AH135" s="10"/>
      <c r="AI135" s="10"/>
      <c r="AJ135" s="10"/>
      <c r="AK135" s="10"/>
      <c r="AL135" s="10"/>
      <c r="AM135" s="10"/>
      <c r="AN135" s="459"/>
      <c r="AO135" s="459"/>
      <c r="AP135" s="459"/>
      <c r="AQ135" s="459"/>
      <c r="AR135" s="459"/>
      <c r="AS135" s="10"/>
    </row>
    <row r="136" spans="2:45" s="186" customFormat="1" ht="15" customHeight="1" x14ac:dyDescent="0.25">
      <c r="B136" s="207" t="s">
        <v>463</v>
      </c>
      <c r="C136" s="207">
        <v>58.1325</v>
      </c>
      <c r="D136" s="219">
        <v>10.99</v>
      </c>
      <c r="E136" s="10"/>
      <c r="F136" s="271"/>
      <c r="G136" s="11"/>
      <c r="H136" s="11"/>
      <c r="I136" s="271"/>
      <c r="J136" s="271"/>
      <c r="K136" s="271"/>
      <c r="L136" s="282"/>
      <c r="M136" s="282"/>
      <c r="N136" s="219"/>
      <c r="O136" s="10"/>
      <c r="P136" s="10"/>
      <c r="Q136" s="10"/>
      <c r="R136" s="10"/>
      <c r="S136" s="10"/>
      <c r="T136" s="10"/>
      <c r="U136" s="10"/>
      <c r="V136" s="334" t="s">
        <v>369</v>
      </c>
      <c r="W136" s="334"/>
      <c r="X136" s="334"/>
      <c r="Y136" s="334"/>
      <c r="Z136" s="334"/>
      <c r="AA136" s="334"/>
      <c r="AB136" s="334"/>
      <c r="AC136" s="334" t="str">
        <f>AD61</f>
        <v xml:space="preserve">2026E </v>
      </c>
      <c r="AD136" s="334" t="str">
        <f>AE61</f>
        <v>2027E</v>
      </c>
      <c r="AE136" s="334" t="str">
        <f>AH61</f>
        <v>2028E</v>
      </c>
      <c r="AF136" s="334"/>
      <c r="AG136" s="334"/>
      <c r="AH136" s="334" t="str">
        <f>AI61</f>
        <v>2029E</v>
      </c>
      <c r="AI136" s="334" t="str">
        <f>AJ61</f>
        <v>2030E</v>
      </c>
      <c r="AJ136" s="10"/>
      <c r="AK136" s="371" t="s">
        <v>464</v>
      </c>
      <c r="AL136" s="371" t="s">
        <v>465</v>
      </c>
      <c r="AM136" s="371" t="s">
        <v>466</v>
      </c>
      <c r="AN136" s="460" t="s">
        <v>467</v>
      </c>
      <c r="AO136" s="460"/>
      <c r="AP136" s="460"/>
      <c r="AQ136" s="460"/>
      <c r="AR136" s="460"/>
      <c r="AS136" s="10"/>
    </row>
    <row r="137" spans="2:45" s="186" customFormat="1" ht="15" customHeight="1" x14ac:dyDescent="0.25">
      <c r="B137" s="207" t="s">
        <v>468</v>
      </c>
      <c r="C137" s="207">
        <v>64.704999999999998</v>
      </c>
      <c r="D137" s="219">
        <v>11.39</v>
      </c>
      <c r="E137" s="10"/>
      <c r="F137" s="271"/>
      <c r="G137" s="11"/>
      <c r="H137" s="11"/>
      <c r="I137" s="271"/>
      <c r="J137" s="271"/>
      <c r="K137" s="271"/>
      <c r="L137" s="282"/>
      <c r="M137" s="282"/>
      <c r="N137" s="219"/>
      <c r="O137" s="10"/>
      <c r="P137" s="10"/>
      <c r="Q137" s="10"/>
      <c r="R137" s="10"/>
      <c r="S137" s="10"/>
      <c r="T137" s="10"/>
      <c r="U137" s="10"/>
      <c r="V137" s="334" t="s">
        <v>469</v>
      </c>
      <c r="W137" s="334"/>
      <c r="X137" s="334"/>
      <c r="Y137" s="334"/>
      <c r="Z137" s="334"/>
      <c r="AA137" s="334"/>
      <c r="AB137" s="334"/>
      <c r="AC137" s="339">
        <f>'DCF '!C15</f>
        <v>2447400.0000000014</v>
      </c>
      <c r="AD137" s="339">
        <f>'DCF '!D15</f>
        <v>3331713.3000000017</v>
      </c>
      <c r="AE137" s="339">
        <f>'DCF '!E15</f>
        <v>4370106.0292000044</v>
      </c>
      <c r="AF137" s="339"/>
      <c r="AG137" s="339"/>
      <c r="AH137" s="339">
        <f>'DCF '!F15</f>
        <v>5536752.1176084056</v>
      </c>
      <c r="AI137" s="339">
        <f>'DCF '!G15</f>
        <v>6845776.4667033795</v>
      </c>
      <c r="AJ137" s="10"/>
      <c r="AK137" s="370" t="s">
        <v>470</v>
      </c>
      <c r="AL137" s="370" t="s">
        <v>471</v>
      </c>
      <c r="AM137" s="370" t="s">
        <v>471</v>
      </c>
      <c r="AN137" s="461" t="s">
        <v>472</v>
      </c>
      <c r="AO137" s="462"/>
      <c r="AP137" s="462"/>
      <c r="AQ137" s="462"/>
      <c r="AR137" s="463"/>
      <c r="AS137" s="10"/>
    </row>
    <row r="138" spans="2:45" s="186" customFormat="1" ht="15" customHeight="1" x14ac:dyDescent="0.25">
      <c r="B138" s="207" t="s">
        <v>473</v>
      </c>
      <c r="C138" s="207">
        <v>67.581999999999994</v>
      </c>
      <c r="D138" s="219">
        <v>12.23</v>
      </c>
      <c r="E138" s="10"/>
      <c r="F138" s="271"/>
      <c r="G138" s="11"/>
      <c r="H138" s="8"/>
      <c r="I138" s="8"/>
      <c r="J138" s="8"/>
      <c r="K138" s="1"/>
      <c r="L138" s="1"/>
      <c r="M138" s="1"/>
      <c r="N138" s="219"/>
      <c r="O138" s="10"/>
      <c r="P138" s="10"/>
      <c r="Q138" s="10"/>
      <c r="R138" s="10"/>
      <c r="S138" s="10"/>
      <c r="T138" s="10"/>
      <c r="U138" s="10"/>
      <c r="V138" s="334" t="s">
        <v>364</v>
      </c>
      <c r="W138" s="334"/>
      <c r="X138" s="334"/>
      <c r="Y138" s="334"/>
      <c r="Z138" s="334"/>
      <c r="AA138" s="334"/>
      <c r="AB138" s="334"/>
      <c r="AC138" s="339">
        <f>AD66</f>
        <v>0.19709266326959979</v>
      </c>
      <c r="AD138" s="339">
        <f>AE66</f>
        <v>0.20476235533874335</v>
      </c>
      <c r="AE138" s="339">
        <f>AH66</f>
        <v>0.2124320474078869</v>
      </c>
      <c r="AF138" s="339"/>
      <c r="AG138" s="339"/>
      <c r="AH138" s="339">
        <f>AI66</f>
        <v>0.22010173947703046</v>
      </c>
      <c r="AI138" s="339">
        <f>AJ66</f>
        <v>0.22777143154617402</v>
      </c>
      <c r="AJ138" s="10"/>
      <c r="AK138" s="334" t="s">
        <v>474</v>
      </c>
      <c r="AL138" s="334" t="s">
        <v>475</v>
      </c>
      <c r="AM138" s="334" t="s">
        <v>476</v>
      </c>
      <c r="AN138" s="452" t="s">
        <v>477</v>
      </c>
      <c r="AO138" s="453"/>
      <c r="AP138" s="453"/>
      <c r="AQ138" s="453"/>
      <c r="AR138" s="454"/>
      <c r="AS138" s="10"/>
    </row>
    <row r="139" spans="2:45" s="186" customFormat="1" ht="15" customHeight="1" x14ac:dyDescent="0.25">
      <c r="B139" s="207" t="s">
        <v>478</v>
      </c>
      <c r="C139" s="207">
        <v>70.543499999999995</v>
      </c>
      <c r="D139" s="219">
        <v>12.19</v>
      </c>
      <c r="E139" s="10"/>
      <c r="F139" s="271"/>
      <c r="G139" s="11"/>
      <c r="H139" s="8"/>
      <c r="I139" s="364" t="s">
        <v>479</v>
      </c>
      <c r="J139" s="364" t="s">
        <v>480</v>
      </c>
      <c r="K139" s="1"/>
      <c r="L139" s="1"/>
      <c r="M139" s="1"/>
      <c r="N139" s="219"/>
      <c r="O139" s="10"/>
      <c r="P139" s="10"/>
      <c r="Q139" s="10"/>
      <c r="R139" s="10"/>
      <c r="S139" s="10"/>
      <c r="T139" s="10"/>
      <c r="U139" s="10"/>
      <c r="V139" s="334" t="s">
        <v>272</v>
      </c>
      <c r="W139" s="334"/>
      <c r="X139" s="334"/>
      <c r="Y139" s="334"/>
      <c r="Z139" s="334"/>
      <c r="AA139" s="334"/>
      <c r="AB139" s="334"/>
      <c r="AC139" s="339">
        <f>'DCF '!C18</f>
        <v>1965035.4159139825</v>
      </c>
      <c r="AD139" s="339">
        <f>'DCF '!D18</f>
        <v>2649503.8373785838</v>
      </c>
      <c r="AE139" s="339">
        <f>'DCF '!E18</f>
        <v>3441755.4580274969</v>
      </c>
      <c r="AF139" s="339"/>
      <c r="AG139" s="339"/>
      <c r="AH139" s="339">
        <f>'DCF '!F18</f>
        <v>4318103.3454696639</v>
      </c>
      <c r="AI139" s="339">
        <f>'DCF '!G18</f>
        <v>5286504.1608372414</v>
      </c>
      <c r="AJ139" s="10"/>
      <c r="AK139" s="334" t="s">
        <v>481</v>
      </c>
      <c r="AL139" s="334" t="s">
        <v>482</v>
      </c>
      <c r="AM139" s="334" t="s">
        <v>483</v>
      </c>
      <c r="AN139" s="452"/>
      <c r="AO139" s="453"/>
      <c r="AP139" s="453"/>
      <c r="AQ139" s="453"/>
      <c r="AR139" s="454"/>
      <c r="AS139" s="10"/>
    </row>
    <row r="140" spans="2:45" s="186" customFormat="1" x14ac:dyDescent="0.25">
      <c r="B140" s="207" t="s">
        <v>484</v>
      </c>
      <c r="C140" s="207">
        <v>82.830500000000001</v>
      </c>
      <c r="D140" s="219">
        <v>11.85</v>
      </c>
      <c r="E140" s="10"/>
      <c r="F140" s="271"/>
      <c r="G140" s="11"/>
      <c r="H140" s="8"/>
      <c r="I140" s="365" t="s">
        <v>485</v>
      </c>
      <c r="J140" s="365" t="s">
        <v>486</v>
      </c>
      <c r="K140" s="1"/>
      <c r="L140" s="1"/>
      <c r="M140" s="1"/>
      <c r="N140" s="219"/>
      <c r="O140" s="10"/>
      <c r="P140" s="10"/>
      <c r="Q140" s="10"/>
      <c r="R140" s="10"/>
      <c r="S140" s="10"/>
      <c r="T140" s="10"/>
      <c r="U140" s="10"/>
      <c r="V140" s="334" t="s">
        <v>487</v>
      </c>
      <c r="W140" s="334"/>
      <c r="X140" s="334"/>
      <c r="Y140" s="334"/>
      <c r="Z140" s="334"/>
      <c r="AA140" s="334"/>
      <c r="AB140" s="334"/>
      <c r="AC140" s="339">
        <f>'DCF '!C14</f>
        <v>2617440.0000000005</v>
      </c>
      <c r="AD140" s="339">
        <f>'DCF '!D14</f>
        <v>2931532.8000000007</v>
      </c>
      <c r="AE140" s="339">
        <f>'DCF '!E14</f>
        <v>3283316.736000001</v>
      </c>
      <c r="AF140" s="339"/>
      <c r="AG140" s="339"/>
      <c r="AH140" s="339">
        <f>'DCF '!F14</f>
        <v>3677314.7443200015</v>
      </c>
      <c r="AI140" s="339">
        <f>'DCF '!G14</f>
        <v>4118592.5136384019</v>
      </c>
      <c r="AJ140" s="10"/>
      <c r="AK140" s="10"/>
      <c r="AL140" s="10"/>
      <c r="AM140" s="10"/>
      <c r="AN140" s="10"/>
      <c r="AO140" s="10"/>
      <c r="AP140" s="10"/>
      <c r="AQ140" s="10"/>
      <c r="AR140" s="10"/>
      <c r="AS140" s="10"/>
    </row>
    <row r="141" spans="2:45" s="186" customFormat="1" x14ac:dyDescent="0.25">
      <c r="B141" s="207" t="s">
        <v>488</v>
      </c>
      <c r="C141" s="207">
        <v>79.5</v>
      </c>
      <c r="D141" s="219">
        <v>11.98</v>
      </c>
      <c r="E141" s="10"/>
      <c r="F141" s="271"/>
      <c r="G141" s="11"/>
      <c r="H141" s="8"/>
      <c r="I141" s="365" t="s">
        <v>489</v>
      </c>
      <c r="J141" s="365" t="s">
        <v>490</v>
      </c>
      <c r="K141" s="1"/>
      <c r="L141" s="1"/>
      <c r="M141" s="1"/>
      <c r="N141" s="219"/>
      <c r="O141" s="10"/>
      <c r="P141" s="10"/>
      <c r="Q141" s="10"/>
      <c r="R141" s="10"/>
      <c r="S141" s="10"/>
      <c r="T141" s="10"/>
      <c r="U141" s="10"/>
      <c r="V141" s="334" t="s">
        <v>491</v>
      </c>
      <c r="W141" s="334"/>
      <c r="X141" s="334"/>
      <c r="Y141" s="334"/>
      <c r="Z141" s="334"/>
      <c r="AA141" s="334"/>
      <c r="AB141" s="334"/>
      <c r="AC141" s="339">
        <f>'DCF '!C20</f>
        <v>12700000</v>
      </c>
      <c r="AD141" s="339">
        <f>'DCF '!D20</f>
        <v>12075000</v>
      </c>
      <c r="AE141" s="339">
        <f>'DCF '!E20</f>
        <v>12075000</v>
      </c>
      <c r="AF141" s="339"/>
      <c r="AG141" s="339"/>
      <c r="AH141" s="339">
        <f>'DCF '!F20</f>
        <v>12075000</v>
      </c>
      <c r="AI141" s="339">
        <f>'DCF '!G20</f>
        <v>12075000</v>
      </c>
      <c r="AJ141" s="10"/>
      <c r="AK141" s="10"/>
      <c r="AL141" s="10"/>
      <c r="AM141" s="10"/>
      <c r="AN141" s="10"/>
      <c r="AO141" s="10"/>
      <c r="AP141" s="10"/>
      <c r="AQ141" s="10"/>
      <c r="AR141" s="10"/>
      <c r="AS141" s="10"/>
    </row>
    <row r="142" spans="2:45" s="186" customFormat="1" ht="31.2" x14ac:dyDescent="0.25">
      <c r="B142" s="207" t="s">
        <v>492</v>
      </c>
      <c r="C142" s="207">
        <v>80.731999999999999</v>
      </c>
      <c r="D142" s="219">
        <v>12.43</v>
      </c>
      <c r="E142" s="10"/>
      <c r="F142" s="271"/>
      <c r="G142" s="11"/>
      <c r="H142" s="8"/>
      <c r="I142" s="365" t="s">
        <v>493</v>
      </c>
      <c r="J142" s="365" t="s">
        <v>494</v>
      </c>
      <c r="K142" s="1"/>
      <c r="L142" s="1"/>
      <c r="M142" s="1"/>
      <c r="N142" s="219"/>
      <c r="O142" s="10"/>
      <c r="P142" s="10"/>
      <c r="Q142" s="10"/>
      <c r="R142" s="10"/>
      <c r="S142" s="10"/>
      <c r="T142" s="10"/>
      <c r="U142" s="10"/>
      <c r="V142" s="334" t="s">
        <v>495</v>
      </c>
      <c r="W142" s="334"/>
      <c r="X142" s="334"/>
      <c r="Y142" s="334"/>
      <c r="Z142" s="334"/>
      <c r="AA142" s="334"/>
      <c r="AB142" s="334"/>
      <c r="AC142" s="339">
        <f>'DCF '!C22</f>
        <v>44347.750037462545</v>
      </c>
      <c r="AD142" s="339">
        <f>'DCF '!D22</f>
        <v>35961.502504120908</v>
      </c>
      <c r="AE142" s="339">
        <f>'DCF '!E22</f>
        <v>39917.267779574264</v>
      </c>
      <c r="AF142" s="339"/>
      <c r="AG142" s="339"/>
      <c r="AH142" s="339">
        <f>'DCF '!F22</f>
        <v>44308.167235327375</v>
      </c>
      <c r="AI142" s="339">
        <f>'DCF '!G22</f>
        <v>49182.065631213416</v>
      </c>
      <c r="AJ142" s="10"/>
      <c r="AK142" s="10"/>
      <c r="AL142" s="10"/>
      <c r="AM142" s="10"/>
      <c r="AN142" s="10"/>
      <c r="AO142" s="10"/>
      <c r="AP142" s="10"/>
      <c r="AQ142" s="10"/>
      <c r="AR142" s="10"/>
      <c r="AS142" s="10"/>
    </row>
    <row r="143" spans="2:45" s="186" customFormat="1" x14ac:dyDescent="0.25">
      <c r="B143" s="207" t="s">
        <v>496</v>
      </c>
      <c r="C143" s="207">
        <v>74.036000000000001</v>
      </c>
      <c r="D143" s="219">
        <v>12.94</v>
      </c>
      <c r="E143" s="10"/>
      <c r="F143" s="271"/>
      <c r="G143" s="11"/>
      <c r="H143" s="8"/>
      <c r="I143" s="365" t="s">
        <v>497</v>
      </c>
      <c r="J143" s="405">
        <f>82.79/91.56-1</f>
        <v>-9.5784185233726449E-2</v>
      </c>
      <c r="K143" s="1"/>
      <c r="L143" s="1"/>
      <c r="M143" s="1"/>
      <c r="N143" s="219"/>
      <c r="O143" s="10"/>
      <c r="P143" s="10"/>
      <c r="Q143" s="10"/>
      <c r="R143" s="10"/>
      <c r="S143" s="10"/>
      <c r="T143" s="10"/>
      <c r="U143" s="10"/>
      <c r="V143" s="334" t="s">
        <v>498</v>
      </c>
      <c r="W143" s="334"/>
      <c r="X143" s="334"/>
      <c r="Y143" s="334"/>
      <c r="Z143" s="334"/>
      <c r="AA143" s="334"/>
      <c r="AB143" s="334"/>
      <c r="AC143" s="339">
        <f>AC139+AC140-AC141-AC142</f>
        <v>-8161872.3341234792</v>
      </c>
      <c r="AD143" s="339">
        <f>AD139+AD140-AD141-AD142</f>
        <v>-6529924.865125536</v>
      </c>
      <c r="AE143" s="339">
        <f>AE139+AE140-AE141-AE142</f>
        <v>-5389845.0737520754</v>
      </c>
      <c r="AF143" s="339"/>
      <c r="AG143" s="339"/>
      <c r="AH143" s="339">
        <f>AH139+AH140-AH141-AH142</f>
        <v>-4123890.0774456621</v>
      </c>
      <c r="AI143" s="339">
        <f>AI139+AI140-AI141-AI142</f>
        <v>-2719085.3911555698</v>
      </c>
      <c r="AJ143" s="10"/>
      <c r="AK143" s="10"/>
      <c r="AL143" s="10"/>
      <c r="AM143" s="10"/>
      <c r="AN143" s="10"/>
      <c r="AO143" s="10"/>
      <c r="AP143" s="10"/>
      <c r="AQ143" s="10"/>
      <c r="AR143" s="10"/>
      <c r="AS143" s="10"/>
    </row>
    <row r="144" spans="2:45" s="186" customFormat="1" x14ac:dyDescent="0.25">
      <c r="B144" s="207" t="s">
        <v>499</v>
      </c>
      <c r="C144" s="207">
        <v>82.328999999999994</v>
      </c>
      <c r="D144" s="219">
        <v>12.61</v>
      </c>
      <c r="E144" s="10"/>
      <c r="F144" s="271"/>
      <c r="G144" s="11"/>
      <c r="H144" s="8"/>
      <c r="I144" s="365" t="s">
        <v>500</v>
      </c>
      <c r="J144" s="365" t="s">
        <v>501</v>
      </c>
      <c r="K144" s="1"/>
      <c r="L144" s="1"/>
      <c r="M144" s="1"/>
      <c r="N144" s="219"/>
      <c r="O144" s="10"/>
      <c r="P144" s="10"/>
      <c r="Q144" s="10"/>
      <c r="R144" s="10"/>
      <c r="S144" s="10"/>
      <c r="T144" s="10"/>
      <c r="U144" s="10"/>
      <c r="V144" s="10"/>
      <c r="W144" s="10"/>
      <c r="X144" s="10"/>
      <c r="Y144" s="10"/>
      <c r="Z144" s="10"/>
      <c r="AA144" s="10"/>
      <c r="AB144" s="10"/>
      <c r="AC144" s="10"/>
      <c r="AD144" s="10"/>
      <c r="AE144" s="10"/>
      <c r="AF144" s="10"/>
      <c r="AG144" s="10"/>
      <c r="AH144" s="10"/>
      <c r="AI144" s="10"/>
      <c r="AJ144" s="10"/>
      <c r="AK144" s="10"/>
      <c r="AL144" s="10"/>
      <c r="AM144" s="10"/>
      <c r="AN144" s="10"/>
      <c r="AO144" s="10"/>
      <c r="AP144" s="10"/>
      <c r="AQ144" s="10"/>
      <c r="AR144" s="10"/>
      <c r="AS144" s="10"/>
    </row>
    <row r="145" spans="2:35" s="186" customFormat="1" ht="15" x14ac:dyDescent="0.25">
      <c r="B145" s="207" t="s">
        <v>502</v>
      </c>
      <c r="C145" s="207">
        <v>81.917000000000002</v>
      </c>
      <c r="D145" s="219">
        <v>12.61</v>
      </c>
      <c r="E145" s="10"/>
      <c r="F145" s="271"/>
      <c r="G145" s="11"/>
      <c r="H145" s="2"/>
      <c r="I145" s="2"/>
      <c r="J145" s="2"/>
      <c r="K145" s="1"/>
      <c r="L145" s="1"/>
      <c r="M145" s="1"/>
      <c r="N145" s="219"/>
      <c r="O145" s="10"/>
      <c r="P145" s="10"/>
      <c r="Q145" s="10"/>
      <c r="R145" s="10"/>
      <c r="S145" s="10"/>
      <c r="T145" s="10"/>
      <c r="U145" s="10"/>
      <c r="V145" s="334" t="s">
        <v>369</v>
      </c>
      <c r="W145" s="334"/>
      <c r="X145" s="334"/>
      <c r="Y145" s="334"/>
      <c r="Z145" s="334"/>
      <c r="AA145" s="334"/>
      <c r="AB145" s="334"/>
      <c r="AC145" s="334" t="str">
        <f>AK61</f>
        <v>2031E</v>
      </c>
      <c r="AD145" s="334" t="str">
        <f>AL61</f>
        <v>2032E</v>
      </c>
      <c r="AE145" s="334" t="str">
        <f>AM61</f>
        <v>2033E</v>
      </c>
      <c r="AF145" s="334"/>
      <c r="AG145" s="334"/>
      <c r="AH145" s="334" t="str">
        <f>AN61</f>
        <v>2034E</v>
      </c>
      <c r="AI145" s="334" t="str">
        <f>AO61</f>
        <v>2035E</v>
      </c>
    </row>
    <row r="146" spans="2:35" s="186" customFormat="1" ht="15" x14ac:dyDescent="0.25">
      <c r="B146" s="207" t="s">
        <v>503</v>
      </c>
      <c r="C146" s="207">
        <v>74.97</v>
      </c>
      <c r="D146" s="219">
        <v>12.3</v>
      </c>
      <c r="E146" s="10"/>
      <c r="F146" s="271"/>
      <c r="G146" s="11"/>
      <c r="H146" s="2"/>
      <c r="I146" s="2"/>
      <c r="J146" s="2"/>
      <c r="K146" s="1"/>
      <c r="L146" s="1"/>
      <c r="M146" s="1"/>
      <c r="N146" s="219"/>
      <c r="O146" s="10"/>
      <c r="P146" s="10"/>
      <c r="Q146" s="10"/>
      <c r="R146" s="10"/>
      <c r="S146" s="10"/>
      <c r="T146" s="10"/>
      <c r="U146" s="10"/>
      <c r="V146" s="334" t="s">
        <v>469</v>
      </c>
      <c r="W146" s="334"/>
      <c r="X146" s="334"/>
      <c r="Y146" s="334"/>
      <c r="Z146" s="334"/>
      <c r="AA146" s="334"/>
      <c r="AB146" s="334"/>
      <c r="AC146" s="339">
        <f>'DCF '!H15</f>
        <v>7915784.6522947233</v>
      </c>
      <c r="AD146" s="339">
        <f>'DCF '!I15</f>
        <v>8865333.9819514509</v>
      </c>
      <c r="AE146" s="339">
        <f>'DCF '!J15</f>
        <v>9647544.2688076831</v>
      </c>
      <c r="AF146" s="339"/>
      <c r="AG146" s="339"/>
      <c r="AH146" s="339">
        <f>'DCF '!K15</f>
        <v>10213967.908965252</v>
      </c>
      <c r="AI146" s="339">
        <f>'DCF '!L15</f>
        <v>10516036.775250364</v>
      </c>
    </row>
    <row r="147" spans="2:35" s="186" customFormat="1" ht="15" x14ac:dyDescent="0.25">
      <c r="B147" s="207" t="s">
        <v>504</v>
      </c>
      <c r="C147" s="207">
        <v>75.47</v>
      </c>
      <c r="D147" s="219">
        <v>12.7</v>
      </c>
      <c r="E147" s="10"/>
      <c r="F147" s="271"/>
      <c r="G147" s="11"/>
      <c r="H147" s="2"/>
      <c r="I147" s="2"/>
      <c r="J147" s="2"/>
      <c r="K147" s="1"/>
      <c r="L147" s="1"/>
      <c r="M147" s="1"/>
      <c r="N147" s="219"/>
      <c r="O147" s="10"/>
      <c r="P147" s="10"/>
      <c r="Q147" s="10"/>
      <c r="R147" s="10"/>
      <c r="S147" s="10"/>
      <c r="T147" s="10"/>
      <c r="U147" s="10"/>
      <c r="V147" s="334" t="s">
        <v>364</v>
      </c>
      <c r="W147" s="334"/>
      <c r="X147" s="334"/>
      <c r="Y147" s="334"/>
      <c r="Z147" s="334"/>
      <c r="AA147" s="334"/>
      <c r="AB147" s="334"/>
      <c r="AC147" s="339">
        <f>AK66</f>
        <v>0.23544112361531758</v>
      </c>
      <c r="AD147" s="339">
        <f>AL66</f>
        <v>0.24311081568446113</v>
      </c>
      <c r="AE147" s="339">
        <f>AM66</f>
        <v>0.25078050775360472</v>
      </c>
      <c r="AF147" s="339"/>
      <c r="AG147" s="339"/>
      <c r="AH147" s="339">
        <f>AN66</f>
        <v>0.25845019982274831</v>
      </c>
      <c r="AI147" s="339">
        <f>AO66</f>
        <v>0.26611989189189189</v>
      </c>
    </row>
    <row r="148" spans="2:35" s="186" customFormat="1" ht="15" x14ac:dyDescent="0.25">
      <c r="B148" s="207" t="s">
        <v>505</v>
      </c>
      <c r="C148" s="207">
        <v>83.094999999999999</v>
      </c>
      <c r="D148" s="219">
        <v>12.73</v>
      </c>
      <c r="E148" s="10"/>
      <c r="F148" s="271"/>
      <c r="G148" s="11"/>
      <c r="H148" s="2"/>
      <c r="I148" s="2"/>
      <c r="J148" s="2"/>
      <c r="K148" s="1"/>
      <c r="L148" s="1"/>
      <c r="M148" s="1"/>
      <c r="N148" s="219"/>
      <c r="O148" s="10"/>
      <c r="P148" s="10"/>
      <c r="Q148" s="10"/>
      <c r="R148" s="10"/>
      <c r="S148" s="10"/>
      <c r="T148" s="10"/>
      <c r="U148" s="10"/>
      <c r="V148" s="334" t="s">
        <v>272</v>
      </c>
      <c r="W148" s="334"/>
      <c r="X148" s="334"/>
      <c r="Y148" s="334"/>
      <c r="Z148" s="334"/>
      <c r="AA148" s="334"/>
      <c r="AB148" s="334"/>
      <c r="AC148" s="339">
        <f>'DCF '!H18</f>
        <v>6052083.4194615679</v>
      </c>
      <c r="AD148" s="339">
        <f>'DCF '!I18</f>
        <v>6710075.4062840622</v>
      </c>
      <c r="AE148" s="339">
        <f>'DCF '!J18</f>
        <v>7228128.2185007129</v>
      </c>
      <c r="AF148" s="339"/>
      <c r="AG148" s="339"/>
      <c r="AH148" s="339">
        <f>'DCF '!K18</f>
        <v>7574165.8619100442</v>
      </c>
      <c r="AI148" s="339">
        <f>'DCF '!L18</f>
        <v>7717510.2054895777</v>
      </c>
    </row>
    <row r="149" spans="2:35" s="186" customFormat="1" ht="15" x14ac:dyDescent="0.25">
      <c r="B149" s="207" t="s">
        <v>506</v>
      </c>
      <c r="C149" s="207">
        <v>77.27</v>
      </c>
      <c r="D149" s="219">
        <v>12.51</v>
      </c>
      <c r="E149" s="10"/>
      <c r="F149" s="271"/>
      <c r="G149" s="11"/>
      <c r="H149" s="2"/>
      <c r="I149" s="2"/>
      <c r="J149" s="2"/>
      <c r="K149" s="1"/>
      <c r="L149" s="1"/>
      <c r="M149" s="1"/>
      <c r="N149" s="219"/>
      <c r="O149" s="10"/>
      <c r="P149" s="10"/>
      <c r="Q149" s="10"/>
      <c r="R149" s="10"/>
      <c r="S149" s="10"/>
      <c r="T149" s="10"/>
      <c r="U149" s="10"/>
      <c r="V149" s="334" t="s">
        <v>487</v>
      </c>
      <c r="W149" s="334"/>
      <c r="X149" s="334"/>
      <c r="Y149" s="334"/>
      <c r="Z149" s="334"/>
      <c r="AA149" s="334"/>
      <c r="AB149" s="334"/>
      <c r="AC149" s="339">
        <f>'DCF '!H14</f>
        <v>4612823.6152750105</v>
      </c>
      <c r="AD149" s="339">
        <f>'DCF '!I14</f>
        <v>5166362.449108012</v>
      </c>
      <c r="AE149" s="339">
        <f>'DCF '!J14</f>
        <v>5786325.9430009741</v>
      </c>
      <c r="AF149" s="339"/>
      <c r="AG149" s="339"/>
      <c r="AH149" s="339">
        <f>'DCF '!K14</f>
        <v>6480685.0561610917</v>
      </c>
      <c r="AI149" s="339">
        <f>'DCF '!L14</f>
        <v>7258367.2629004233</v>
      </c>
    </row>
    <row r="150" spans="2:35" s="186" customFormat="1" ht="15" x14ac:dyDescent="0.25">
      <c r="B150" s="207" t="s">
        <v>507</v>
      </c>
      <c r="C150" s="207">
        <v>80.165000000000006</v>
      </c>
      <c r="D150" s="219">
        <v>12.02</v>
      </c>
      <c r="E150" s="10"/>
      <c r="F150" s="271"/>
      <c r="G150" s="11"/>
      <c r="H150" s="2"/>
      <c r="I150" s="2"/>
      <c r="J150" s="2"/>
      <c r="K150" s="1"/>
      <c r="L150" s="1"/>
      <c r="M150" s="1"/>
      <c r="N150" s="219"/>
      <c r="O150" s="10"/>
      <c r="P150" s="10"/>
      <c r="Q150" s="10"/>
      <c r="R150" s="10"/>
      <c r="S150" s="10"/>
      <c r="T150" s="10"/>
      <c r="U150" s="10"/>
      <c r="V150" s="334" t="s">
        <v>491</v>
      </c>
      <c r="W150" s="334"/>
      <c r="X150" s="334"/>
      <c r="Y150" s="334"/>
      <c r="Z150" s="334"/>
      <c r="AA150" s="334"/>
      <c r="AB150" s="334"/>
      <c r="AC150" s="339">
        <f>'DCF '!H20</f>
        <v>11860000</v>
      </c>
      <c r="AD150" s="339">
        <f>'DCF '!I20</f>
        <v>11645000</v>
      </c>
      <c r="AE150" s="339">
        <f>'DCF '!J20</f>
        <v>11430000</v>
      </c>
      <c r="AF150" s="339"/>
      <c r="AG150" s="339"/>
      <c r="AH150" s="339">
        <f>'DCF '!K20</f>
        <v>11215000</v>
      </c>
      <c r="AI150" s="339">
        <f>'DCF '!L20</f>
        <v>11000000</v>
      </c>
    </row>
    <row r="151" spans="2:35" s="186" customFormat="1" ht="15" x14ac:dyDescent="0.25">
      <c r="B151" s="207" t="s">
        <v>508</v>
      </c>
      <c r="C151" s="207">
        <v>74.98</v>
      </c>
      <c r="D151" s="219">
        <v>12.1</v>
      </c>
      <c r="E151" s="10"/>
      <c r="F151" s="271"/>
      <c r="G151" s="11"/>
      <c r="H151" s="2"/>
      <c r="I151" s="2"/>
      <c r="J151" s="2"/>
      <c r="K151" s="1"/>
      <c r="L151" s="1"/>
      <c r="M151" s="1"/>
      <c r="N151" s="219"/>
      <c r="O151" s="10"/>
      <c r="P151" s="10"/>
      <c r="Q151" s="10"/>
      <c r="R151" s="10"/>
      <c r="S151" s="10"/>
      <c r="T151" s="10"/>
      <c r="U151" s="10"/>
      <c r="V151" s="334" t="s">
        <v>495</v>
      </c>
      <c r="W151" s="334"/>
      <c r="X151" s="334"/>
      <c r="Y151" s="334"/>
      <c r="Z151" s="334"/>
      <c r="AA151" s="334"/>
      <c r="AB151" s="334"/>
      <c r="AC151" s="339">
        <f>'DCF '!H22</f>
        <v>44666.25778689282</v>
      </c>
      <c r="AD151" s="339">
        <f>'DCF '!I22</f>
        <v>43276.640877967424</v>
      </c>
      <c r="AE151" s="339">
        <f>'DCF '!J22</f>
        <v>40896.425629679026</v>
      </c>
      <c r="AF151" s="339"/>
      <c r="AG151" s="339"/>
      <c r="AH151" s="339">
        <f>'DCF '!K22</f>
        <v>37507.864648934359</v>
      </c>
      <c r="AI151" s="339">
        <f>'DCF '!L22</f>
        <v>33131.947106558735</v>
      </c>
    </row>
    <row r="152" spans="2:35" s="186" customFormat="1" ht="15" x14ac:dyDescent="0.25">
      <c r="B152" s="207" t="s">
        <v>509</v>
      </c>
      <c r="C152" s="207">
        <v>75.58</v>
      </c>
      <c r="D152" s="219">
        <v>12.57</v>
      </c>
      <c r="E152" s="10"/>
      <c r="F152" s="271"/>
      <c r="G152" s="11"/>
      <c r="H152" s="2"/>
      <c r="I152" s="2"/>
      <c r="J152" s="2"/>
      <c r="K152" s="1"/>
      <c r="L152" s="1"/>
      <c r="M152" s="1"/>
      <c r="N152" s="219"/>
      <c r="O152" s="10"/>
      <c r="P152" s="10"/>
      <c r="Q152" s="10"/>
      <c r="R152" s="10"/>
      <c r="S152" s="10"/>
      <c r="T152" s="10"/>
      <c r="U152" s="10"/>
      <c r="V152" s="334" t="s">
        <v>498</v>
      </c>
      <c r="W152" s="334"/>
      <c r="X152" s="334"/>
      <c r="Y152" s="334"/>
      <c r="Z152" s="334"/>
      <c r="AA152" s="334"/>
      <c r="AB152" s="334"/>
      <c r="AC152" s="339">
        <f>AC148+AC149-AC150-AC151</f>
        <v>-1239759.2230503154</v>
      </c>
      <c r="AD152" s="339">
        <f>AD148+AD149-AD150-AD151</f>
        <v>188161.2145141068</v>
      </c>
      <c r="AE152" s="339">
        <f>AE148+AE149-AE150-AE151</f>
        <v>1543557.7358720079</v>
      </c>
      <c r="AF152" s="339"/>
      <c r="AG152" s="339"/>
      <c r="AH152" s="339">
        <f>AH148+AH149-AH150-AH151</f>
        <v>2802343.0534222014</v>
      </c>
      <c r="AI152" s="339">
        <f>AI148+AI149-AI150-AI151</f>
        <v>3942745.5212834422</v>
      </c>
    </row>
    <row r="153" spans="2:35" s="186" customFormat="1" ht="15" x14ac:dyDescent="0.25">
      <c r="B153" s="207" t="s">
        <v>510</v>
      </c>
      <c r="C153" s="207">
        <v>77.745000000000005</v>
      </c>
      <c r="D153" s="219">
        <v>12.53</v>
      </c>
      <c r="E153" s="10"/>
      <c r="F153" s="271"/>
      <c r="G153" s="11"/>
      <c r="H153" s="2"/>
      <c r="I153" s="2"/>
      <c r="J153" s="2"/>
      <c r="K153" s="1"/>
      <c r="L153" s="1"/>
      <c r="M153" s="1"/>
      <c r="N153" s="219"/>
      <c r="O153" s="10"/>
      <c r="P153" s="10"/>
      <c r="Q153" s="10"/>
      <c r="R153" s="10"/>
      <c r="S153" s="10"/>
      <c r="T153" s="10"/>
      <c r="U153" s="10"/>
      <c r="V153" s="10"/>
      <c r="W153" s="10"/>
      <c r="X153" s="10"/>
      <c r="Y153" s="10"/>
      <c r="Z153" s="10"/>
      <c r="AA153" s="10"/>
      <c r="AB153" s="10"/>
      <c r="AC153" s="10"/>
      <c r="AD153" s="10"/>
      <c r="AE153" s="10"/>
      <c r="AF153" s="10"/>
      <c r="AG153" s="10"/>
      <c r="AH153" s="10"/>
      <c r="AI153" s="10"/>
    </row>
    <row r="154" spans="2:35" s="186" customFormat="1" x14ac:dyDescent="0.3">
      <c r="B154" s="207" t="s">
        <v>511</v>
      </c>
      <c r="C154" s="207">
        <v>71.765000000000001</v>
      </c>
      <c r="D154" s="219">
        <v>12.84</v>
      </c>
      <c r="E154" s="10"/>
      <c r="F154" s="271"/>
      <c r="G154" s="11"/>
      <c r="H154" s="2"/>
      <c r="I154" s="2"/>
      <c r="J154" s="2"/>
      <c r="K154" s="1"/>
      <c r="L154" s="1"/>
      <c r="M154" s="1"/>
      <c r="N154" s="219"/>
      <c r="O154" s="10"/>
      <c r="P154" s="10"/>
      <c r="Q154" s="10"/>
      <c r="R154" s="10"/>
      <c r="S154" s="10"/>
      <c r="T154" s="10"/>
      <c r="U154" s="10"/>
      <c r="V154" s="350" t="s">
        <v>357</v>
      </c>
      <c r="W154" s="350"/>
      <c r="X154" s="350"/>
      <c r="Y154" s="350"/>
      <c r="Z154" s="350"/>
      <c r="AA154" s="350"/>
      <c r="AB154" s="350"/>
      <c r="AC154" s="350" t="s">
        <v>512</v>
      </c>
      <c r="AD154" s="10"/>
      <c r="AE154" s="10"/>
      <c r="AF154" s="10"/>
      <c r="AG154" s="10"/>
      <c r="AH154" s="10"/>
      <c r="AI154" s="10"/>
    </row>
    <row r="155" spans="2:35" s="186" customFormat="1" x14ac:dyDescent="0.3">
      <c r="B155" s="207" t="s">
        <v>513</v>
      </c>
      <c r="C155" s="207">
        <v>72.795000000000002</v>
      </c>
      <c r="D155" s="219">
        <v>13.45</v>
      </c>
      <c r="E155" s="10"/>
      <c r="F155" s="271"/>
      <c r="G155" s="11"/>
      <c r="H155" s="2"/>
      <c r="I155" s="2"/>
      <c r="J155" s="2"/>
      <c r="K155" s="1"/>
      <c r="L155" s="1"/>
      <c r="M155" s="1"/>
      <c r="N155" s="219"/>
      <c r="O155" s="10"/>
      <c r="P155" s="10"/>
      <c r="Q155" s="10"/>
      <c r="R155" s="10"/>
      <c r="S155" s="10"/>
      <c r="T155" s="10"/>
      <c r="U155" s="10"/>
      <c r="V155" s="350" t="s">
        <v>514</v>
      </c>
      <c r="W155" s="350"/>
      <c r="X155" s="350"/>
      <c r="Y155" s="350"/>
      <c r="Z155" s="350"/>
      <c r="AA155" s="350"/>
      <c r="AB155" s="350"/>
      <c r="AC155" s="351">
        <f>'DCF '!L24</f>
        <v>3942745.5212834422</v>
      </c>
      <c r="AD155" s="10"/>
      <c r="AE155" s="10"/>
      <c r="AF155" s="10"/>
      <c r="AG155" s="10"/>
      <c r="AH155" s="10"/>
      <c r="AI155" s="10"/>
    </row>
    <row r="156" spans="2:35" s="186" customFormat="1" x14ac:dyDescent="0.3">
      <c r="B156" s="207" t="s">
        <v>515</v>
      </c>
      <c r="C156" s="207">
        <v>74.510000000000005</v>
      </c>
      <c r="D156" s="219">
        <v>13.02</v>
      </c>
      <c r="E156" s="10"/>
      <c r="F156" s="271"/>
      <c r="G156" s="11"/>
      <c r="H156" s="2"/>
      <c r="I156" s="2"/>
      <c r="J156" s="2"/>
      <c r="K156" s="1"/>
      <c r="L156" s="1"/>
      <c r="M156" s="1"/>
      <c r="N156" s="219"/>
      <c r="O156" s="10"/>
      <c r="P156" s="10"/>
      <c r="Q156" s="10"/>
      <c r="R156" s="10"/>
      <c r="S156" s="10"/>
      <c r="T156" s="10"/>
      <c r="U156" s="10"/>
      <c r="V156" s="350" t="s">
        <v>516</v>
      </c>
      <c r="W156" s="350"/>
      <c r="X156" s="350"/>
      <c r="Y156" s="350"/>
      <c r="Z156" s="350"/>
      <c r="AA156" s="350"/>
      <c r="AB156" s="350"/>
      <c r="AC156" s="352">
        <f>'DCF '!R23</f>
        <v>2.3E-2</v>
      </c>
      <c r="AD156" s="10"/>
      <c r="AE156" s="10"/>
      <c r="AF156" s="10"/>
      <c r="AG156" s="10"/>
      <c r="AH156" s="10"/>
      <c r="AI156" s="10"/>
    </row>
    <row r="157" spans="2:35" s="186" customFormat="1" x14ac:dyDescent="0.3">
      <c r="B157" s="207" t="s">
        <v>517</v>
      </c>
      <c r="C157" s="207">
        <v>70.22</v>
      </c>
      <c r="D157" s="219">
        <v>12.43</v>
      </c>
      <c r="E157" s="10"/>
      <c r="F157" s="271"/>
      <c r="G157" s="11"/>
      <c r="H157" s="2"/>
      <c r="I157" s="157" t="s">
        <v>518</v>
      </c>
      <c r="J157" s="157" t="s">
        <v>519</v>
      </c>
      <c r="K157" s="145" t="s">
        <v>520</v>
      </c>
      <c r="L157" s="145" t="s">
        <v>521</v>
      </c>
      <c r="M157" s="1"/>
      <c r="N157" s="219"/>
      <c r="O157" s="10"/>
      <c r="P157" s="10"/>
      <c r="Q157" s="10"/>
      <c r="R157" s="10"/>
      <c r="S157" s="10"/>
      <c r="T157" s="10"/>
      <c r="U157" s="10"/>
      <c r="V157" s="350" t="s">
        <v>270</v>
      </c>
      <c r="W157" s="350"/>
      <c r="X157" s="350"/>
      <c r="Y157" s="350"/>
      <c r="Z157" s="350"/>
      <c r="AA157" s="350"/>
      <c r="AB157" s="350"/>
      <c r="AC157" s="353">
        <f>'DCF '!R19</f>
        <v>5.2485410699999999E-2</v>
      </c>
      <c r="AD157" s="10"/>
      <c r="AE157" s="10"/>
      <c r="AF157" s="10"/>
      <c r="AG157" s="10"/>
      <c r="AH157" s="10"/>
      <c r="AI157" s="10"/>
    </row>
    <row r="158" spans="2:35" s="186" customFormat="1" x14ac:dyDescent="0.3">
      <c r="B158" s="207" t="s">
        <v>522</v>
      </c>
      <c r="C158" s="207">
        <v>68.03</v>
      </c>
      <c r="D158" s="219">
        <v>12.49</v>
      </c>
      <c r="E158" s="10"/>
      <c r="F158" s="271"/>
      <c r="G158" s="11"/>
      <c r="H158" s="2"/>
      <c r="I158" s="157" t="s">
        <v>523</v>
      </c>
      <c r="J158" s="157" t="s">
        <v>524</v>
      </c>
      <c r="K158" s="145" t="s">
        <v>525</v>
      </c>
      <c r="L158" s="145" t="s">
        <v>524</v>
      </c>
      <c r="M158" s="1"/>
      <c r="N158" s="219"/>
      <c r="O158" s="10"/>
      <c r="P158" s="10"/>
      <c r="Q158" s="10"/>
      <c r="R158" s="10"/>
      <c r="S158" s="10"/>
      <c r="T158" s="10"/>
      <c r="U158" s="10"/>
      <c r="V158" s="350" t="s">
        <v>526</v>
      </c>
      <c r="W158" s="350"/>
      <c r="X158" s="350"/>
      <c r="Y158" s="350"/>
      <c r="Z158" s="350"/>
      <c r="AA158" s="350"/>
      <c r="AB158" s="350"/>
      <c r="AC158" s="354">
        <f>'DCF '!R24</f>
        <v>136794048.158636</v>
      </c>
      <c r="AD158" s="10"/>
      <c r="AE158" s="10"/>
      <c r="AF158" s="10"/>
      <c r="AG158" s="10"/>
      <c r="AH158" s="10"/>
      <c r="AI158" s="10"/>
    </row>
    <row r="159" spans="2:35" s="186" customFormat="1" ht="15" x14ac:dyDescent="0.25">
      <c r="B159" s="207" t="s">
        <v>527</v>
      </c>
      <c r="C159" s="207">
        <v>70.03</v>
      </c>
      <c r="D159" s="219">
        <v>12.65</v>
      </c>
      <c r="E159" s="10"/>
      <c r="F159" s="271"/>
      <c r="G159" s="11"/>
      <c r="H159" s="2"/>
      <c r="I159" s="157" t="s">
        <v>528</v>
      </c>
      <c r="J159" s="157" t="s">
        <v>529</v>
      </c>
      <c r="K159" s="145" t="s">
        <v>530</v>
      </c>
      <c r="L159" s="145" t="s">
        <v>531</v>
      </c>
      <c r="M159" s="1"/>
      <c r="N159" s="219"/>
      <c r="O159" s="10"/>
      <c r="P159" s="10"/>
      <c r="Q159" s="10"/>
      <c r="R159" s="10"/>
      <c r="S159" s="10"/>
      <c r="T159" s="10"/>
      <c r="U159" s="10"/>
      <c r="V159" s="374"/>
      <c r="W159" s="374"/>
      <c r="X159" s="374"/>
      <c r="Y159" s="374"/>
      <c r="Z159" s="374"/>
      <c r="AA159" s="374"/>
      <c r="AB159" s="374"/>
      <c r="AC159" s="374"/>
      <c r="AD159" s="10"/>
      <c r="AE159" s="10"/>
      <c r="AF159" s="10"/>
      <c r="AG159" s="10"/>
      <c r="AH159" s="10"/>
      <c r="AI159" s="10"/>
    </row>
    <row r="160" spans="2:35" s="186" customFormat="1" ht="15" x14ac:dyDescent="0.25">
      <c r="B160" s="207" t="s">
        <v>532</v>
      </c>
      <c r="C160" s="207">
        <v>72.87</v>
      </c>
      <c r="D160" s="219">
        <v>12.57</v>
      </c>
      <c r="E160" s="10"/>
      <c r="F160" s="271"/>
      <c r="G160" s="11"/>
      <c r="H160" s="2"/>
      <c r="I160" s="157" t="s">
        <v>533</v>
      </c>
      <c r="J160" s="157" t="s">
        <v>534</v>
      </c>
      <c r="K160" s="145" t="s">
        <v>535</v>
      </c>
      <c r="L160" s="145" t="s">
        <v>536</v>
      </c>
      <c r="M160" s="1"/>
      <c r="N160" s="219"/>
      <c r="O160" s="10"/>
      <c r="P160" s="10"/>
      <c r="Q160" s="10"/>
      <c r="R160" s="10"/>
      <c r="S160" s="10"/>
      <c r="T160" s="10"/>
      <c r="U160" s="10"/>
      <c r="V160" s="10"/>
      <c r="W160" s="10"/>
      <c r="X160" s="10"/>
      <c r="Y160" s="10"/>
      <c r="Z160" s="10"/>
      <c r="AA160" s="10"/>
      <c r="AB160" s="10"/>
      <c r="AC160" s="10"/>
      <c r="AD160" s="10"/>
      <c r="AE160" s="10"/>
      <c r="AF160" s="10"/>
      <c r="AG160" s="10"/>
      <c r="AH160" s="10"/>
      <c r="AI160" s="10"/>
    </row>
    <row r="161" spans="2:39" s="186" customFormat="1" ht="15" x14ac:dyDescent="0.25">
      <c r="B161" s="207" t="s">
        <v>537</v>
      </c>
      <c r="C161" s="207">
        <v>74.73</v>
      </c>
      <c r="D161" s="219">
        <v>11.64</v>
      </c>
      <c r="E161" s="10"/>
      <c r="F161" s="271"/>
      <c r="G161" s="11"/>
      <c r="H161" s="2"/>
      <c r="I161" s="157" t="s">
        <v>538</v>
      </c>
      <c r="J161" s="157" t="s">
        <v>539</v>
      </c>
      <c r="K161" s="145" t="s">
        <v>540</v>
      </c>
      <c r="L161" s="145" t="s">
        <v>541</v>
      </c>
      <c r="M161" s="1"/>
      <c r="N161" s="219"/>
      <c r="O161" s="10"/>
      <c r="P161" s="10"/>
      <c r="Q161" s="10"/>
      <c r="R161" s="10"/>
      <c r="S161" s="10"/>
      <c r="T161" s="10"/>
      <c r="U161" s="10"/>
      <c r="V161" s="10"/>
      <c r="W161" s="10"/>
      <c r="X161" s="10"/>
      <c r="Y161" s="10"/>
      <c r="Z161" s="10"/>
      <c r="AA161" s="10"/>
      <c r="AB161" s="10"/>
      <c r="AC161" s="10"/>
      <c r="AD161" s="10"/>
      <c r="AE161" s="10"/>
      <c r="AF161" s="10"/>
      <c r="AG161" s="10"/>
      <c r="AH161" s="10"/>
      <c r="AI161" s="10"/>
      <c r="AJ161" s="10"/>
      <c r="AK161" s="10"/>
      <c r="AL161" s="10"/>
      <c r="AM161" s="10"/>
    </row>
    <row r="162" spans="2:39" s="186" customFormat="1" x14ac:dyDescent="0.3">
      <c r="B162" s="207" t="s">
        <v>542</v>
      </c>
      <c r="C162" s="207">
        <v>71.56</v>
      </c>
      <c r="D162" s="219">
        <v>12.15</v>
      </c>
      <c r="E162" s="10"/>
      <c r="F162" s="271"/>
      <c r="G162" s="11"/>
      <c r="H162" s="2"/>
      <c r="I162" s="157" t="s">
        <v>543</v>
      </c>
      <c r="J162" s="157" t="s">
        <v>544</v>
      </c>
      <c r="K162" s="145" t="s">
        <v>545</v>
      </c>
      <c r="L162" s="145" t="s">
        <v>546</v>
      </c>
      <c r="M162" s="1"/>
      <c r="N162" s="219"/>
      <c r="O162" s="10"/>
      <c r="P162" s="10"/>
      <c r="Q162" s="10"/>
      <c r="R162" s="10"/>
      <c r="S162" s="10"/>
      <c r="T162" s="10"/>
      <c r="U162" s="10"/>
      <c r="V162" s="348" t="s">
        <v>274</v>
      </c>
      <c r="W162" s="348"/>
      <c r="X162" s="348"/>
      <c r="Y162" s="348"/>
      <c r="Z162" s="348"/>
      <c r="AA162" s="348"/>
      <c r="AB162" s="348"/>
      <c r="AC162" s="348" t="s">
        <v>547</v>
      </c>
      <c r="AD162" s="348" t="s">
        <v>548</v>
      </c>
      <c r="AE162" s="348" t="s">
        <v>549</v>
      </c>
      <c r="AF162" s="438"/>
      <c r="AG162" s="438"/>
      <c r="AH162" s="10"/>
      <c r="AI162" s="10"/>
      <c r="AJ162" s="10"/>
      <c r="AK162" s="10"/>
      <c r="AL162" s="10"/>
      <c r="AM162" s="10"/>
    </row>
    <row r="163" spans="2:39" s="186" customFormat="1" x14ac:dyDescent="0.3">
      <c r="B163" s="207" t="s">
        <v>550</v>
      </c>
      <c r="C163" s="207">
        <v>70.599999999999994</v>
      </c>
      <c r="D163" s="219">
        <v>12.35</v>
      </c>
      <c r="E163" s="10"/>
      <c r="F163" s="271"/>
      <c r="G163" s="11"/>
      <c r="H163" s="2"/>
      <c r="I163" s="157" t="s">
        <v>551</v>
      </c>
      <c r="J163" s="157" t="s">
        <v>552</v>
      </c>
      <c r="K163" s="145" t="s">
        <v>553</v>
      </c>
      <c r="L163" s="145" t="s">
        <v>554</v>
      </c>
      <c r="M163" s="1"/>
      <c r="N163" s="219"/>
      <c r="O163" s="10"/>
      <c r="P163" s="10"/>
      <c r="Q163" s="10"/>
      <c r="R163" s="10"/>
      <c r="S163" s="10"/>
      <c r="T163" s="10"/>
      <c r="U163" s="10"/>
      <c r="V163" s="348">
        <v>2026</v>
      </c>
      <c r="W163" s="348"/>
      <c r="X163" s="348"/>
      <c r="Y163" s="348"/>
      <c r="Z163" s="348"/>
      <c r="AA163" s="348"/>
      <c r="AB163" s="348"/>
      <c r="AC163" s="349">
        <f>AC143</f>
        <v>-8161872.3341234792</v>
      </c>
      <c r="AD163" s="348">
        <f>(1+'DCF '!$R$16)^1</f>
        <v>1.0524854106999999</v>
      </c>
      <c r="AE163" s="349">
        <f t="shared" ref="AE163:AE172" si="20">AC163/AD163</f>
        <v>-7754855.5553801749</v>
      </c>
      <c r="AF163" s="439"/>
      <c r="AG163" s="439"/>
      <c r="AH163" s="10"/>
      <c r="AI163" s="10"/>
      <c r="AJ163" s="10"/>
      <c r="AK163" s="1"/>
      <c r="AL163" s="1"/>
      <c r="AM163" s="1"/>
    </row>
    <row r="164" spans="2:39" s="186" customFormat="1" x14ac:dyDescent="0.3">
      <c r="B164" s="207" t="s">
        <v>555</v>
      </c>
      <c r="C164" s="207">
        <v>71.83</v>
      </c>
      <c r="D164" s="219">
        <v>12.24</v>
      </c>
      <c r="E164" s="10"/>
      <c r="F164" s="271"/>
      <c r="G164" s="11"/>
      <c r="H164" s="2"/>
      <c r="I164" s="157" t="s">
        <v>556</v>
      </c>
      <c r="J164" s="157" t="s">
        <v>557</v>
      </c>
      <c r="K164" s="145" t="s">
        <v>558</v>
      </c>
      <c r="L164" s="145" t="s">
        <v>559</v>
      </c>
      <c r="M164" s="1"/>
      <c r="N164" s="219"/>
      <c r="O164" s="10"/>
      <c r="P164" s="10"/>
      <c r="Q164" s="10"/>
      <c r="R164" s="10"/>
      <c r="S164" s="10"/>
      <c r="T164" s="10"/>
      <c r="U164" s="10"/>
      <c r="V164" s="348">
        <v>2027</v>
      </c>
      <c r="W164" s="348"/>
      <c r="X164" s="348"/>
      <c r="Y164" s="348"/>
      <c r="Z164" s="348"/>
      <c r="AA164" s="348"/>
      <c r="AB164" s="348"/>
      <c r="AC164" s="349">
        <f>AD143</f>
        <v>-6529924.865125536</v>
      </c>
      <c r="AD164" s="348">
        <f>(1+'DCF '!$R$16)^2</f>
        <v>1.1077255397363475</v>
      </c>
      <c r="AE164" s="349">
        <f t="shared" si="20"/>
        <v>-5894894.205183479</v>
      </c>
      <c r="AF164" s="439"/>
      <c r="AG164" s="439"/>
      <c r="AH164" s="10"/>
      <c r="AI164" s="10"/>
      <c r="AJ164" s="10"/>
      <c r="AK164" s="1"/>
      <c r="AL164" s="1"/>
      <c r="AM164" s="1"/>
    </row>
    <row r="165" spans="2:39" s="186" customFormat="1" x14ac:dyDescent="0.3">
      <c r="B165" s="207" t="s">
        <v>560</v>
      </c>
      <c r="C165" s="207">
        <v>71.63</v>
      </c>
      <c r="D165" s="219">
        <v>12.22</v>
      </c>
      <c r="E165" s="10"/>
      <c r="F165" s="271"/>
      <c r="G165" s="11"/>
      <c r="H165" s="2"/>
      <c r="I165" s="2"/>
      <c r="J165" s="2"/>
      <c r="K165" s="1"/>
      <c r="L165" s="1"/>
      <c r="M165" s="1"/>
      <c r="N165" s="219"/>
      <c r="O165" s="10"/>
      <c r="P165" s="10"/>
      <c r="Q165" s="10"/>
      <c r="R165" s="10"/>
      <c r="S165" s="10"/>
      <c r="T165" s="10"/>
      <c r="U165" s="10"/>
      <c r="V165" s="348">
        <v>2028</v>
      </c>
      <c r="W165" s="348"/>
      <c r="X165" s="348"/>
      <c r="Y165" s="348"/>
      <c r="Z165" s="348"/>
      <c r="AA165" s="348"/>
      <c r="AB165" s="348"/>
      <c r="AC165" s="349">
        <f>AE143</f>
        <v>-5389845.0737520754</v>
      </c>
      <c r="AD165" s="348">
        <f>(1+'DCF '!$R$16)^3</f>
        <v>1.1658649696322887</v>
      </c>
      <c r="AE165" s="349">
        <f t="shared" si="20"/>
        <v>-4623044.018083862</v>
      </c>
      <c r="AF165" s="439"/>
      <c r="AG165" s="439"/>
      <c r="AH165" s="10"/>
      <c r="AI165" s="10"/>
      <c r="AJ165" s="10"/>
      <c r="AK165" s="1"/>
      <c r="AL165" s="340" t="s">
        <v>561</v>
      </c>
      <c r="AM165" s="340" t="s">
        <v>562</v>
      </c>
    </row>
    <row r="166" spans="2:39" s="186" customFormat="1" x14ac:dyDescent="0.3">
      <c r="B166" s="207" t="s">
        <v>563</v>
      </c>
      <c r="C166" s="207">
        <v>72.709999999999994</v>
      </c>
      <c r="D166" s="219">
        <v>13.09</v>
      </c>
      <c r="E166" s="10"/>
      <c r="F166" s="271"/>
      <c r="G166" s="11"/>
      <c r="H166" s="2"/>
      <c r="I166" s="2"/>
      <c r="J166" s="2"/>
      <c r="K166" s="1"/>
      <c r="L166" s="1"/>
      <c r="M166" s="1"/>
      <c r="N166" s="219"/>
      <c r="O166" s="10"/>
      <c r="P166" s="10"/>
      <c r="Q166" s="10"/>
      <c r="R166" s="10"/>
      <c r="S166" s="10"/>
      <c r="T166" s="10"/>
      <c r="U166" s="10"/>
      <c r="V166" s="348">
        <v>2029</v>
      </c>
      <c r="W166" s="348"/>
      <c r="X166" s="348"/>
      <c r="Y166" s="348"/>
      <c r="Z166" s="348"/>
      <c r="AA166" s="348"/>
      <c r="AB166" s="348"/>
      <c r="AC166" s="349">
        <f>AH143</f>
        <v>-4123890.0774456621</v>
      </c>
      <c r="AD166" s="348">
        <f>(1+'DCF '!$R$16)^4</f>
        <v>1.2270558713841824</v>
      </c>
      <c r="AE166" s="349">
        <f t="shared" si="20"/>
        <v>-3360800.5744625963</v>
      </c>
      <c r="AF166" s="439"/>
      <c r="AG166" s="439"/>
      <c r="AH166" s="10"/>
      <c r="AI166" s="10"/>
      <c r="AJ166" s="10"/>
      <c r="AK166" s="1"/>
      <c r="AL166" s="340" t="s">
        <v>564</v>
      </c>
      <c r="AM166" s="340">
        <f>Exhibits!L15/1000</f>
        <v>17774.404038150788</v>
      </c>
    </row>
    <row r="167" spans="2:39" s="186" customFormat="1" x14ac:dyDescent="0.3">
      <c r="B167" s="207" t="s">
        <v>565</v>
      </c>
      <c r="C167" s="207">
        <v>76.06</v>
      </c>
      <c r="D167" s="219">
        <v>13.52</v>
      </c>
      <c r="E167" s="10"/>
      <c r="F167" s="271"/>
      <c r="G167" s="11"/>
      <c r="H167" s="2"/>
      <c r="I167" s="2"/>
      <c r="J167" s="2"/>
      <c r="K167" s="1"/>
      <c r="L167" s="1"/>
      <c r="M167" s="1"/>
      <c r="N167" s="219"/>
      <c r="O167" s="10"/>
      <c r="P167" s="10"/>
      <c r="Q167" s="10"/>
      <c r="R167" s="10"/>
      <c r="S167" s="10"/>
      <c r="T167" s="10"/>
      <c r="U167" s="10"/>
      <c r="V167" s="348">
        <v>2030</v>
      </c>
      <c r="W167" s="348"/>
      <c r="X167" s="348"/>
      <c r="Y167" s="348"/>
      <c r="Z167" s="348"/>
      <c r="AA167" s="348"/>
      <c r="AB167" s="348"/>
      <c r="AC167" s="349">
        <f>AI143</f>
        <v>-2719085.3911555698</v>
      </c>
      <c r="AD167" s="348">
        <f>(1+'DCF '!$R$16)^5</f>
        <v>1.2914584027456275</v>
      </c>
      <c r="AE167" s="349">
        <f t="shared" si="20"/>
        <v>-2105437.8409516108</v>
      </c>
      <c r="AF167" s="439"/>
      <c r="AG167" s="439"/>
      <c r="AH167" s="10"/>
      <c r="AI167" s="10"/>
      <c r="AJ167" s="10"/>
      <c r="AK167" s="1"/>
      <c r="AL167" s="340" t="s">
        <v>566</v>
      </c>
      <c r="AM167" s="342">
        <f>Precedents!F10</f>
        <v>13.058605556847244</v>
      </c>
    </row>
    <row r="168" spans="2:39" s="186" customFormat="1" x14ac:dyDescent="0.3">
      <c r="B168" s="207" t="s">
        <v>567</v>
      </c>
      <c r="C168" s="207">
        <v>80.06</v>
      </c>
      <c r="D168" s="219">
        <v>12.28</v>
      </c>
      <c r="E168" s="10"/>
      <c r="F168" s="271"/>
      <c r="G168" s="11"/>
      <c r="H168" s="2"/>
      <c r="I168" s="157" t="s">
        <v>568</v>
      </c>
      <c r="J168" s="157" t="s">
        <v>569</v>
      </c>
      <c r="K168" s="368" t="s">
        <v>570</v>
      </c>
      <c r="L168" s="145" t="s">
        <v>571</v>
      </c>
      <c r="M168" s="1"/>
      <c r="N168" s="219"/>
      <c r="O168" s="10"/>
      <c r="P168" s="10"/>
      <c r="Q168" s="10"/>
      <c r="R168" s="10"/>
      <c r="S168" s="10"/>
      <c r="T168" s="10"/>
      <c r="U168" s="10"/>
      <c r="V168" s="348">
        <v>2031</v>
      </c>
      <c r="W168" s="348"/>
      <c r="X168" s="348"/>
      <c r="Y168" s="348"/>
      <c r="Z168" s="348"/>
      <c r="AA168" s="348"/>
      <c r="AB168" s="348"/>
      <c r="AC168" s="349">
        <f>AC152</f>
        <v>-1239759.2230503154</v>
      </c>
      <c r="AD168" s="348">
        <f>(1+'DCF '!$R$16)^6</f>
        <v>1.3592411274156975</v>
      </c>
      <c r="AE168" s="349">
        <f t="shared" si="20"/>
        <v>-912096.60894196818</v>
      </c>
      <c r="AF168" s="439"/>
      <c r="AG168" s="439"/>
      <c r="AH168" s="10"/>
      <c r="AI168" s="10"/>
      <c r="AJ168" s="10"/>
      <c r="AK168" s="1"/>
      <c r="AL168" s="340" t="s">
        <v>572</v>
      </c>
      <c r="AM168" s="346">
        <f>(AM166*AM167)</f>
        <v>232108.93134224397</v>
      </c>
    </row>
    <row r="169" spans="2:39" s="186" customFormat="1" x14ac:dyDescent="0.3">
      <c r="B169" s="207" t="s">
        <v>573</v>
      </c>
      <c r="C169" s="207">
        <v>82.18</v>
      </c>
      <c r="D169" s="219">
        <v>11.98</v>
      </c>
      <c r="E169" s="10"/>
      <c r="F169" s="271"/>
      <c r="G169" s="11"/>
      <c r="H169" s="2"/>
      <c r="I169" s="157" t="s">
        <v>574</v>
      </c>
      <c r="J169" s="157" t="s">
        <v>575</v>
      </c>
      <c r="K169" s="368" t="s">
        <v>576</v>
      </c>
      <c r="L169" s="145" t="s">
        <v>577</v>
      </c>
      <c r="M169" s="1"/>
      <c r="N169" s="219"/>
      <c r="O169" s="10"/>
      <c r="P169" s="10"/>
      <c r="Q169" s="10"/>
      <c r="R169" s="10"/>
      <c r="S169" s="10"/>
      <c r="T169" s="10"/>
      <c r="U169" s="10"/>
      <c r="V169" s="348">
        <v>2032</v>
      </c>
      <c r="W169" s="348"/>
      <c r="X169" s="348"/>
      <c r="Y169" s="348"/>
      <c r="Z169" s="348"/>
      <c r="AA169" s="348"/>
      <c r="AB169" s="348"/>
      <c r="AC169" s="349">
        <f>AD152</f>
        <v>188161.2145141068</v>
      </c>
      <c r="AD169" s="348">
        <f>(1+'DCF '!$R$16)^7</f>
        <v>1.4305814562284414</v>
      </c>
      <c r="AE169" s="349">
        <f t="shared" si="20"/>
        <v>131527.78801577058</v>
      </c>
      <c r="AF169" s="439"/>
      <c r="AG169" s="439"/>
      <c r="AH169" s="10"/>
      <c r="AI169" s="10"/>
      <c r="AJ169" s="10"/>
      <c r="AK169" s="1"/>
      <c r="AL169" s="341" t="s">
        <v>578</v>
      </c>
      <c r="AM169" s="145">
        <f>(AM166*13.1)/(1+0.052)^10</f>
        <v>140251.96206684376</v>
      </c>
    </row>
    <row r="170" spans="2:39" s="186" customFormat="1" x14ac:dyDescent="0.3">
      <c r="B170" s="207" t="s">
        <v>579</v>
      </c>
      <c r="C170" s="207">
        <v>83.63</v>
      </c>
      <c r="D170" s="219">
        <v>12.05</v>
      </c>
      <c r="E170" s="10"/>
      <c r="F170" s="271"/>
      <c r="G170" s="11"/>
      <c r="H170" s="2"/>
      <c r="I170" s="157" t="s">
        <v>580</v>
      </c>
      <c r="J170" s="157" t="s">
        <v>581</v>
      </c>
      <c r="K170" s="368" t="s">
        <v>582</v>
      </c>
      <c r="L170" s="145" t="s">
        <v>583</v>
      </c>
      <c r="M170" s="1"/>
      <c r="N170" s="219"/>
      <c r="O170" s="10"/>
      <c r="P170" s="10"/>
      <c r="Q170" s="10"/>
      <c r="R170" s="10"/>
      <c r="S170" s="10"/>
      <c r="T170" s="10"/>
      <c r="U170" s="10"/>
      <c r="V170" s="348">
        <v>2033</v>
      </c>
      <c r="W170" s="348"/>
      <c r="X170" s="348"/>
      <c r="Y170" s="348"/>
      <c r="Z170" s="348"/>
      <c r="AA170" s="348"/>
      <c r="AB170" s="348"/>
      <c r="AC170" s="349">
        <f>AE152</f>
        <v>1543557.7358720079</v>
      </c>
      <c r="AD170" s="348">
        <f>(1+'DCF '!$R$16)^8</f>
        <v>1.5056661114983951</v>
      </c>
      <c r="AE170" s="349">
        <f t="shared" si="20"/>
        <v>1025166.0205966276</v>
      </c>
      <c r="AF170" s="439"/>
      <c r="AG170" s="439"/>
      <c r="AH170" s="10"/>
      <c r="AI170" s="10"/>
      <c r="AJ170" s="10"/>
      <c r="AK170" s="1"/>
      <c r="AL170" s="1"/>
      <c r="AM170" s="1"/>
    </row>
    <row r="171" spans="2:39" s="186" customFormat="1" x14ac:dyDescent="0.3">
      <c r="B171" s="207" t="s">
        <v>584</v>
      </c>
      <c r="C171" s="207">
        <v>83.37</v>
      </c>
      <c r="D171" s="219">
        <v>11.74</v>
      </c>
      <c r="E171" s="10"/>
      <c r="F171" s="271"/>
      <c r="G171" s="11"/>
      <c r="H171" s="2"/>
      <c r="I171" s="157" t="s">
        <v>585</v>
      </c>
      <c r="J171" s="157" t="s">
        <v>586</v>
      </c>
      <c r="K171" s="368" t="s">
        <v>587</v>
      </c>
      <c r="L171" s="145" t="s">
        <v>588</v>
      </c>
      <c r="M171" s="1"/>
      <c r="N171" s="219"/>
      <c r="O171" s="10"/>
      <c r="P171" s="10"/>
      <c r="Q171" s="10"/>
      <c r="R171" s="10"/>
      <c r="S171" s="10"/>
      <c r="T171" s="10"/>
      <c r="U171" s="10"/>
      <c r="V171" s="348">
        <v>2034</v>
      </c>
      <c r="W171" s="348"/>
      <c r="X171" s="348"/>
      <c r="Y171" s="348"/>
      <c r="Z171" s="348"/>
      <c r="AA171" s="348"/>
      <c r="AB171" s="348"/>
      <c r="AC171" s="349">
        <f>AH152</f>
        <v>2802343.0534222014</v>
      </c>
      <c r="AD171" s="348">
        <f>(1+'DCF '!$R$16)^9</f>
        <v>1.5846916157374602</v>
      </c>
      <c r="AE171" s="349">
        <f t="shared" si="20"/>
        <v>1768383.8455333081</v>
      </c>
      <c r="AF171" s="439"/>
      <c r="AG171" s="439"/>
      <c r="AH171" s="10"/>
      <c r="AI171" s="10"/>
      <c r="AJ171" s="10"/>
      <c r="AK171" s="10"/>
      <c r="AL171" s="10"/>
      <c r="AM171" s="10"/>
    </row>
    <row r="172" spans="2:39" s="186" customFormat="1" x14ac:dyDescent="0.3">
      <c r="B172" s="207" t="s">
        <v>589</v>
      </c>
      <c r="C172" s="207">
        <v>93.67</v>
      </c>
      <c r="D172" s="219">
        <v>11.7</v>
      </c>
      <c r="E172" s="10"/>
      <c r="F172" s="271"/>
      <c r="G172" s="11"/>
      <c r="H172" s="2"/>
      <c r="I172" s="157" t="s">
        <v>590</v>
      </c>
      <c r="J172" s="157" t="s">
        <v>591</v>
      </c>
      <c r="K172" s="368" t="s">
        <v>592</v>
      </c>
      <c r="L172" s="145" t="s">
        <v>593</v>
      </c>
      <c r="M172" s="1"/>
      <c r="N172" s="219"/>
      <c r="O172" s="10"/>
      <c r="P172" s="10"/>
      <c r="Q172" s="10"/>
      <c r="R172" s="10"/>
      <c r="S172" s="10"/>
      <c r="T172" s="10"/>
      <c r="U172" s="10"/>
      <c r="V172" s="348">
        <v>2035</v>
      </c>
      <c r="W172" s="348"/>
      <c r="X172" s="348"/>
      <c r="Y172" s="348"/>
      <c r="Z172" s="348"/>
      <c r="AA172" s="348"/>
      <c r="AB172" s="348"/>
      <c r="AC172" s="349">
        <f>AI152</f>
        <v>3942745.5212834422</v>
      </c>
      <c r="AD172" s="348">
        <f>(1+'DCF '!$R$16)^10</f>
        <v>1.6678648060222874</v>
      </c>
      <c r="AE172" s="349">
        <f t="shared" si="20"/>
        <v>2363947.909355164</v>
      </c>
      <c r="AF172" s="439"/>
      <c r="AG172" s="439"/>
      <c r="AH172" s="10"/>
      <c r="AI172" s="10"/>
      <c r="AJ172" s="10"/>
      <c r="AK172" s="10"/>
      <c r="AL172" s="10"/>
      <c r="AM172" s="10"/>
    </row>
    <row r="173" spans="2:39" s="186" customFormat="1" x14ac:dyDescent="0.3">
      <c r="B173" s="207" t="s">
        <v>594</v>
      </c>
      <c r="C173" s="207">
        <v>87.72</v>
      </c>
      <c r="D173" s="219">
        <v>11.49</v>
      </c>
      <c r="E173" s="10"/>
      <c r="F173" s="271"/>
      <c r="G173" s="11"/>
      <c r="H173" s="2"/>
      <c r="I173" s="157" t="s">
        <v>595</v>
      </c>
      <c r="J173" s="157" t="s">
        <v>596</v>
      </c>
      <c r="K173" s="368" t="s">
        <v>597</v>
      </c>
      <c r="L173" s="145" t="s">
        <v>598</v>
      </c>
      <c r="M173" s="1"/>
      <c r="N173" s="219"/>
      <c r="O173" s="10"/>
      <c r="P173" s="10"/>
      <c r="Q173" s="10"/>
      <c r="R173" s="10"/>
      <c r="S173" s="10"/>
      <c r="T173" s="10"/>
      <c r="U173" s="10"/>
      <c r="V173" s="348"/>
      <c r="W173" s="348"/>
      <c r="X173" s="348"/>
      <c r="Y173" s="348"/>
      <c r="Z173" s="348"/>
      <c r="AA173" s="348"/>
      <c r="AB173" s="348"/>
      <c r="AC173" s="348"/>
      <c r="AD173" s="348" t="s">
        <v>599</v>
      </c>
      <c r="AE173" s="349">
        <f>SUM(AE163:AE172)</f>
        <v>-19362103.239502821</v>
      </c>
      <c r="AF173" s="439"/>
      <c r="AG173" s="439"/>
      <c r="AH173" s="10"/>
      <c r="AI173" s="10"/>
      <c r="AJ173" s="10"/>
      <c r="AK173" s="10"/>
      <c r="AL173" s="10"/>
      <c r="AM173" s="10"/>
    </row>
    <row r="174" spans="2:39" s="186" customFormat="1" x14ac:dyDescent="0.3">
      <c r="B174" s="207" t="s">
        <v>600</v>
      </c>
      <c r="C174" s="207">
        <v>82.93</v>
      </c>
      <c r="D174" s="219">
        <v>11.69</v>
      </c>
      <c r="E174" s="10"/>
      <c r="F174" s="271"/>
      <c r="G174" s="11"/>
      <c r="H174" s="2"/>
      <c r="I174" s="157" t="s">
        <v>601</v>
      </c>
      <c r="J174" s="157" t="s">
        <v>601</v>
      </c>
      <c r="K174" s="145" t="s">
        <v>602</v>
      </c>
      <c r="L174" s="145" t="s">
        <v>603</v>
      </c>
      <c r="M174" s="1"/>
      <c r="N174" s="219"/>
      <c r="O174" s="10"/>
      <c r="P174" s="10"/>
      <c r="Q174" s="10"/>
      <c r="R174" s="10"/>
      <c r="S174" s="10"/>
      <c r="T174" s="10"/>
      <c r="U174" s="10"/>
      <c r="V174" s="348" t="s">
        <v>572</v>
      </c>
      <c r="W174" s="348"/>
      <c r="X174" s="348"/>
      <c r="Y174" s="348"/>
      <c r="Z174" s="348"/>
      <c r="AA174" s="348"/>
      <c r="AB174" s="348"/>
      <c r="AC174" s="348">
        <f>'DCF '!R24</f>
        <v>136794048.158636</v>
      </c>
      <c r="AD174" s="348">
        <f>(1+'DCF '!R16)^10</f>
        <v>1.6678648060222874</v>
      </c>
      <c r="AE174" s="349">
        <f>AC174/AD174</f>
        <v>82017467.881511286</v>
      </c>
      <c r="AF174" s="439"/>
      <c r="AG174" s="439"/>
      <c r="AH174" s="10"/>
      <c r="AI174" s="10"/>
      <c r="AJ174" s="10"/>
      <c r="AK174" s="10"/>
      <c r="AL174" s="10"/>
      <c r="AM174" s="10"/>
    </row>
    <row r="175" spans="2:39" s="186" customFormat="1" x14ac:dyDescent="0.3">
      <c r="B175" s="207" t="s">
        <v>604</v>
      </c>
      <c r="C175" s="207">
        <v>71.569999999999993</v>
      </c>
      <c r="D175" s="219">
        <v>11.85</v>
      </c>
      <c r="E175" s="10"/>
      <c r="F175" s="271"/>
      <c r="G175" s="11"/>
      <c r="H175" s="2"/>
      <c r="I175" s="2"/>
      <c r="J175" s="2"/>
      <c r="K175" s="1"/>
      <c r="L175" s="1"/>
      <c r="M175" s="1"/>
      <c r="N175" s="219"/>
      <c r="O175" s="10"/>
      <c r="P175" s="10"/>
      <c r="Q175" s="10"/>
      <c r="R175" s="10"/>
      <c r="S175" s="10"/>
      <c r="T175" s="10"/>
      <c r="U175" s="10"/>
      <c r="V175" s="355"/>
      <c r="W175" s="355"/>
      <c r="X175" s="355"/>
      <c r="Y175" s="355"/>
      <c r="Z175" s="355"/>
      <c r="AA175" s="355"/>
      <c r="AB175" s="355"/>
      <c r="AC175" s="355"/>
      <c r="AD175" s="355" t="s">
        <v>605</v>
      </c>
      <c r="AE175" s="356">
        <f>AE174+AE173</f>
        <v>62655364.642008469</v>
      </c>
      <c r="AF175" s="440"/>
      <c r="AG175" s="440"/>
      <c r="AH175" s="10"/>
      <c r="AI175" s="10"/>
      <c r="AJ175" s="10"/>
      <c r="AK175" s="10"/>
      <c r="AL175" s="10"/>
      <c r="AM175" s="10"/>
    </row>
    <row r="176" spans="2:39" s="186" customFormat="1" ht="15" x14ac:dyDescent="0.25">
      <c r="B176" s="207" t="s">
        <v>606</v>
      </c>
      <c r="C176" s="207">
        <v>71.36</v>
      </c>
      <c r="D176" s="219">
        <v>11.83</v>
      </c>
      <c r="E176" s="10"/>
      <c r="F176" s="271"/>
      <c r="G176" s="11"/>
      <c r="H176" s="2"/>
      <c r="I176" s="2"/>
      <c r="J176" s="2"/>
      <c r="K176" s="1"/>
      <c r="L176" s="1"/>
      <c r="M176" s="1"/>
      <c r="N176" s="219"/>
      <c r="O176" s="10"/>
      <c r="P176" s="10"/>
      <c r="Q176" s="10"/>
      <c r="R176" s="10"/>
      <c r="S176" s="10"/>
      <c r="T176" s="10"/>
      <c r="U176" s="10"/>
      <c r="V176" s="10"/>
      <c r="W176" s="10"/>
      <c r="X176" s="10"/>
      <c r="Y176" s="10"/>
      <c r="Z176" s="10"/>
      <c r="AA176" s="10"/>
      <c r="AB176" s="10"/>
      <c r="AC176" s="10"/>
      <c r="AD176" s="10"/>
      <c r="AE176" s="375"/>
      <c r="AF176" s="375"/>
      <c r="AG176" s="375"/>
      <c r="AH176" s="10"/>
      <c r="AI176" s="10"/>
      <c r="AJ176" s="10"/>
      <c r="AK176" s="10"/>
      <c r="AL176" s="10"/>
      <c r="AM176" s="10"/>
    </row>
    <row r="177" spans="2:33" s="186" customFormat="1" ht="15" x14ac:dyDescent="0.25">
      <c r="B177" s="207" t="s">
        <v>607</v>
      </c>
      <c r="C177" s="207">
        <v>74.27</v>
      </c>
      <c r="D177" s="219">
        <v>11.5</v>
      </c>
      <c r="E177" s="10"/>
      <c r="F177" s="271"/>
      <c r="G177" s="11"/>
      <c r="H177" s="2"/>
      <c r="I177" s="2"/>
      <c r="J177" s="2"/>
      <c r="K177" s="1"/>
      <c r="L177" s="1"/>
      <c r="M177" s="1"/>
      <c r="N177" s="219"/>
      <c r="O177" s="10"/>
      <c r="P177" s="10"/>
      <c r="Q177" s="10"/>
      <c r="R177" s="10"/>
      <c r="S177" s="10"/>
      <c r="T177" s="10"/>
      <c r="U177" s="10"/>
      <c r="V177" s="10"/>
      <c r="W177" s="10"/>
      <c r="X177" s="10"/>
      <c r="Y177" s="10"/>
      <c r="Z177" s="10"/>
      <c r="AA177" s="10"/>
      <c r="AB177" s="10"/>
      <c r="AC177" s="10"/>
      <c r="AD177" s="10"/>
      <c r="AE177" s="375"/>
      <c r="AF177" s="375"/>
      <c r="AG177" s="375"/>
    </row>
    <row r="178" spans="2:33" s="186" customFormat="1" ht="15" x14ac:dyDescent="0.25">
      <c r="B178" s="207" t="s">
        <v>608</v>
      </c>
      <c r="C178" s="207">
        <v>78.59</v>
      </c>
      <c r="D178" s="219">
        <v>11.25</v>
      </c>
      <c r="E178" s="10"/>
      <c r="F178" s="271"/>
      <c r="G178" s="11"/>
      <c r="H178" s="11"/>
      <c r="I178" s="271"/>
      <c r="J178" s="271"/>
      <c r="K178" s="271"/>
      <c r="L178" s="282"/>
      <c r="M178" s="282"/>
      <c r="N178" s="219"/>
      <c r="O178" s="10"/>
      <c r="P178" s="10"/>
      <c r="Q178" s="10"/>
      <c r="R178" s="10"/>
      <c r="S178" s="10"/>
      <c r="T178" s="10"/>
      <c r="U178" s="10"/>
      <c r="V178" s="10"/>
      <c r="W178" s="10"/>
      <c r="X178" s="10"/>
      <c r="Y178" s="10"/>
      <c r="Z178" s="10"/>
      <c r="AA178" s="10"/>
      <c r="AB178" s="10"/>
      <c r="AC178" s="10"/>
      <c r="AD178" s="10"/>
      <c r="AE178" s="10"/>
      <c r="AF178" s="10"/>
      <c r="AG178" s="10"/>
    </row>
    <row r="179" spans="2:33" s="186" customFormat="1" ht="15" x14ac:dyDescent="0.25">
      <c r="B179" s="207" t="s">
        <v>609</v>
      </c>
      <c r="C179" s="207">
        <v>75.77</v>
      </c>
      <c r="D179" s="219">
        <v>11.24</v>
      </c>
      <c r="E179" s="10"/>
      <c r="F179" s="271"/>
      <c r="G179" s="11"/>
      <c r="H179" s="11"/>
      <c r="I179" s="271"/>
      <c r="J179" s="271"/>
      <c r="K179" s="271"/>
      <c r="L179" s="282"/>
      <c r="M179" s="282"/>
      <c r="N179" s="219"/>
      <c r="O179" s="10"/>
      <c r="P179" s="10"/>
      <c r="Q179" s="10"/>
      <c r="R179" s="10"/>
      <c r="S179" s="10"/>
      <c r="T179" s="10"/>
      <c r="U179" s="10"/>
      <c r="V179" s="10" t="s">
        <v>357</v>
      </c>
      <c r="W179" s="10"/>
      <c r="X179" s="10"/>
      <c r="Y179" s="10"/>
      <c r="Z179" s="10"/>
      <c r="AA179" s="10"/>
      <c r="AB179" s="10"/>
      <c r="AC179" s="10"/>
      <c r="AD179" s="10"/>
      <c r="AE179" s="10"/>
      <c r="AF179" s="10"/>
      <c r="AG179" s="10"/>
    </row>
    <row r="180" spans="2:33" s="186" customFormat="1" ht="15" x14ac:dyDescent="0.25">
      <c r="B180" s="207" t="s">
        <v>610</v>
      </c>
      <c r="C180" s="207">
        <v>81.680000000000007</v>
      </c>
      <c r="D180" s="219">
        <v>12.42</v>
      </c>
      <c r="E180" s="10"/>
      <c r="F180" s="271"/>
      <c r="G180" s="11"/>
      <c r="H180" s="11"/>
      <c r="I180" s="271"/>
      <c r="J180" s="271"/>
      <c r="K180" s="271"/>
      <c r="L180" s="282"/>
      <c r="M180" s="282"/>
      <c r="N180" s="219"/>
      <c r="O180" s="10"/>
      <c r="P180" s="10"/>
      <c r="Q180" s="10"/>
      <c r="R180" s="10"/>
      <c r="S180" s="10"/>
      <c r="T180" s="10"/>
      <c r="U180" s="10"/>
      <c r="V180" s="10" t="s">
        <v>611</v>
      </c>
      <c r="W180" s="10"/>
      <c r="X180" s="10"/>
      <c r="Y180" s="10"/>
      <c r="Z180" s="10"/>
      <c r="AA180" s="10"/>
      <c r="AB180" s="10"/>
      <c r="AC180" s="375"/>
      <c r="AD180" s="10"/>
      <c r="AE180" s="10"/>
      <c r="AF180" s="10"/>
      <c r="AG180" s="10"/>
    </row>
    <row r="181" spans="2:33" s="186" customFormat="1" x14ac:dyDescent="0.3">
      <c r="B181" s="207" t="s">
        <v>612</v>
      </c>
      <c r="C181" s="207">
        <v>82.56</v>
      </c>
      <c r="D181" s="219">
        <v>12.58</v>
      </c>
      <c r="E181" s="10"/>
      <c r="F181" s="271"/>
      <c r="G181" s="11"/>
      <c r="H181" s="11"/>
      <c r="I181" s="271"/>
      <c r="J181" s="271"/>
      <c r="K181" s="271"/>
      <c r="L181" s="282"/>
      <c r="M181" s="282"/>
      <c r="N181" s="219"/>
      <c r="O181" s="10"/>
      <c r="P181" s="10"/>
      <c r="Q181" s="10"/>
      <c r="R181" s="10"/>
      <c r="S181" s="10"/>
      <c r="T181" s="10"/>
      <c r="U181" s="10"/>
      <c r="V181" s="10"/>
      <c r="W181" s="10"/>
      <c r="X181" s="10"/>
      <c r="Y181" s="10"/>
      <c r="Z181" s="10"/>
      <c r="AA181" s="10"/>
      <c r="AB181" s="10"/>
      <c r="AC181" s="146"/>
      <c r="AD181" s="146"/>
      <c r="AE181" s="10"/>
      <c r="AF181" s="10"/>
      <c r="AG181" s="10"/>
    </row>
    <row r="182" spans="2:33" s="186" customFormat="1" x14ac:dyDescent="0.3">
      <c r="B182" s="207" t="s">
        <v>613</v>
      </c>
      <c r="C182" s="207">
        <v>89.98</v>
      </c>
      <c r="D182" s="219">
        <v>12.71</v>
      </c>
      <c r="E182" s="10"/>
      <c r="F182" s="271"/>
      <c r="G182" s="11"/>
      <c r="H182" s="11"/>
      <c r="I182" s="271"/>
      <c r="J182" s="271"/>
      <c r="K182" s="271"/>
      <c r="L182" s="282"/>
      <c r="M182" s="282"/>
      <c r="N182" s="219"/>
      <c r="O182" s="10"/>
      <c r="P182" s="10"/>
      <c r="Q182" s="10"/>
      <c r="R182" s="10"/>
      <c r="S182" s="10"/>
      <c r="T182" s="10"/>
      <c r="U182" s="10"/>
      <c r="V182" s="10"/>
      <c r="W182" s="10"/>
      <c r="X182" s="10"/>
      <c r="Y182" s="10"/>
      <c r="Z182" s="10"/>
      <c r="AA182" s="10"/>
      <c r="AB182" s="10"/>
      <c r="AC182" s="145"/>
      <c r="AD182" s="343"/>
      <c r="AE182" s="10"/>
      <c r="AF182" s="10"/>
      <c r="AG182" s="10"/>
    </row>
    <row r="183" spans="2:33" s="186" customFormat="1" x14ac:dyDescent="0.3">
      <c r="B183" s="207" t="s">
        <v>614</v>
      </c>
      <c r="C183" s="207">
        <v>91.94</v>
      </c>
      <c r="D183" s="219">
        <v>13.44</v>
      </c>
      <c r="E183" s="10"/>
      <c r="F183" s="271"/>
      <c r="G183" s="11"/>
      <c r="H183" s="11"/>
      <c r="I183" s="271"/>
      <c r="J183" s="271"/>
      <c r="K183" s="271"/>
      <c r="L183" s="282"/>
      <c r="M183" s="282"/>
      <c r="N183" s="219"/>
      <c r="O183" s="10"/>
      <c r="P183" s="10"/>
      <c r="Q183" s="10"/>
      <c r="R183" s="10"/>
      <c r="S183" s="10"/>
      <c r="T183" s="10"/>
      <c r="U183" s="10"/>
      <c r="V183" s="10"/>
      <c r="W183" s="10"/>
      <c r="X183" s="10"/>
      <c r="Y183" s="10"/>
      <c r="Z183" s="10"/>
      <c r="AA183" s="10"/>
      <c r="AB183" s="10"/>
      <c r="AC183" s="153" t="s">
        <v>277</v>
      </c>
      <c r="AD183" s="344">
        <f>'DCF '!R20</f>
        <v>-19687569.439560883</v>
      </c>
      <c r="AE183" s="10"/>
      <c r="AF183" s="10"/>
      <c r="AG183" s="10"/>
    </row>
    <row r="184" spans="2:33" s="186" customFormat="1" x14ac:dyDescent="0.3">
      <c r="B184" s="207" t="s">
        <v>615</v>
      </c>
      <c r="C184" s="207">
        <v>94.72</v>
      </c>
      <c r="D184" s="219">
        <v>13.77</v>
      </c>
      <c r="E184" s="10"/>
      <c r="F184" s="271"/>
      <c r="G184" s="11"/>
      <c r="H184" s="11"/>
      <c r="I184" s="271"/>
      <c r="J184" s="271"/>
      <c r="K184" s="271"/>
      <c r="L184" s="282"/>
      <c r="M184" s="282"/>
      <c r="N184" s="219"/>
      <c r="O184" s="10"/>
      <c r="P184" s="10"/>
      <c r="Q184" s="10"/>
      <c r="R184" s="10"/>
      <c r="S184" s="10"/>
      <c r="T184" s="10"/>
      <c r="U184" s="10"/>
      <c r="V184" s="10"/>
      <c r="W184" s="10"/>
      <c r="X184" s="10"/>
      <c r="Y184" s="10"/>
      <c r="Z184" s="10"/>
      <c r="AA184" s="10"/>
      <c r="AB184" s="10"/>
      <c r="AC184" s="145"/>
      <c r="AD184" s="151">
        <f>SUM(K187:T187)</f>
        <v>0</v>
      </c>
      <c r="AE184" s="10"/>
      <c r="AF184" s="10"/>
      <c r="AG184" s="10"/>
    </row>
    <row r="185" spans="2:33" s="186" customFormat="1" ht="15" x14ac:dyDescent="0.25">
      <c r="B185" s="207" t="s">
        <v>616</v>
      </c>
      <c r="C185" s="207">
        <v>88.29</v>
      </c>
      <c r="D185" s="219">
        <v>13.86</v>
      </c>
      <c r="E185" s="10"/>
      <c r="F185" s="271"/>
      <c r="G185" s="11"/>
      <c r="H185" s="11"/>
      <c r="I185" s="271"/>
      <c r="J185" s="271"/>
      <c r="K185" s="271"/>
      <c r="L185" s="282"/>
      <c r="M185" s="282"/>
      <c r="N185" s="219"/>
      <c r="O185" s="10"/>
      <c r="P185" s="10"/>
      <c r="Q185" s="10"/>
      <c r="R185" s="10"/>
      <c r="S185" s="10"/>
      <c r="T185" s="10"/>
      <c r="U185" s="10"/>
      <c r="V185" s="10"/>
      <c r="W185" s="10"/>
      <c r="X185" s="10"/>
      <c r="Y185" s="10"/>
      <c r="Z185" s="10"/>
      <c r="AA185" s="10"/>
      <c r="AB185" s="10"/>
      <c r="AC185" s="145" t="s">
        <v>280</v>
      </c>
      <c r="AD185" s="345">
        <f>'DCF '!R22</f>
        <v>4033428.6682729609</v>
      </c>
      <c r="AE185" s="10"/>
      <c r="AF185" s="10"/>
      <c r="AG185" s="10"/>
    </row>
    <row r="186" spans="2:33" s="186" customFormat="1" ht="15" x14ac:dyDescent="0.25">
      <c r="B186" s="207" t="s">
        <v>617</v>
      </c>
      <c r="C186" s="207">
        <v>87.01</v>
      </c>
      <c r="D186" s="219">
        <v>14.98</v>
      </c>
      <c r="E186" s="10"/>
      <c r="F186" s="271"/>
      <c r="G186" s="11"/>
      <c r="H186" s="11"/>
      <c r="I186" s="271"/>
      <c r="J186" s="271"/>
      <c r="K186" s="271"/>
      <c r="L186" s="282"/>
      <c r="M186" s="282"/>
      <c r="N186" s="219"/>
      <c r="O186" s="10"/>
      <c r="P186" s="10"/>
      <c r="Q186" s="10"/>
      <c r="R186" s="10"/>
      <c r="S186" s="10"/>
      <c r="T186" s="10"/>
      <c r="U186" s="10"/>
      <c r="V186" s="10"/>
      <c r="W186" s="10"/>
      <c r="X186" s="10"/>
      <c r="Y186" s="10"/>
      <c r="Z186" s="10"/>
      <c r="AA186" s="10"/>
      <c r="AB186" s="10"/>
      <c r="AC186" s="145" t="s">
        <v>281</v>
      </c>
      <c r="AD186" s="152">
        <v>2.3E-2</v>
      </c>
      <c r="AE186" s="10"/>
      <c r="AF186" s="10"/>
      <c r="AG186" s="10"/>
    </row>
    <row r="187" spans="2:33" s="186" customFormat="1" ht="15" x14ac:dyDescent="0.25">
      <c r="B187" s="207" t="s">
        <v>618</v>
      </c>
      <c r="C187" s="207">
        <v>94.5</v>
      </c>
      <c r="D187" s="219">
        <v>14.82</v>
      </c>
      <c r="E187" s="10"/>
      <c r="F187" s="271"/>
      <c r="G187" s="11"/>
      <c r="H187" s="11"/>
      <c r="I187" s="271"/>
      <c r="J187" s="271"/>
      <c r="K187" s="271"/>
      <c r="L187" s="282"/>
      <c r="M187" s="282"/>
      <c r="N187" s="219"/>
      <c r="O187" s="10"/>
      <c r="P187" s="10"/>
      <c r="Q187" s="10"/>
      <c r="R187" s="10"/>
      <c r="S187" s="10"/>
      <c r="T187" s="10"/>
      <c r="U187" s="10"/>
      <c r="V187" s="10"/>
      <c r="W187" s="10"/>
      <c r="X187" s="10"/>
      <c r="Y187" s="10"/>
      <c r="Z187" s="10"/>
      <c r="AA187" s="10"/>
      <c r="AB187" s="10"/>
      <c r="AC187" s="145" t="s">
        <v>283</v>
      </c>
      <c r="AD187" s="10">
        <f>'DCF '!R24</f>
        <v>136794048.158636</v>
      </c>
      <c r="AE187" s="10"/>
      <c r="AF187" s="10"/>
      <c r="AG187" s="10"/>
    </row>
    <row r="188" spans="2:33" s="186" customFormat="1" x14ac:dyDescent="0.3">
      <c r="B188" s="207" t="s">
        <v>619</v>
      </c>
      <c r="C188" s="207">
        <v>95.39</v>
      </c>
      <c r="D188" s="219">
        <v>14.29</v>
      </c>
      <c r="E188" s="10"/>
      <c r="F188" s="271"/>
      <c r="G188" s="11"/>
      <c r="H188" s="11"/>
      <c r="I188" s="271"/>
      <c r="J188" s="271"/>
      <c r="K188" s="271"/>
      <c r="L188" s="282"/>
      <c r="M188" s="282"/>
      <c r="N188" s="219"/>
      <c r="O188" s="10"/>
      <c r="P188" s="10"/>
      <c r="Q188" s="10"/>
      <c r="R188" s="10"/>
      <c r="S188" s="10"/>
      <c r="T188" s="10"/>
      <c r="U188" s="10"/>
      <c r="V188" s="10"/>
      <c r="W188" s="10"/>
      <c r="X188" s="10"/>
      <c r="Y188" s="10"/>
      <c r="Z188" s="10"/>
      <c r="AA188" s="10"/>
      <c r="AB188" s="10"/>
      <c r="AC188" s="145"/>
      <c r="AD188" s="151"/>
      <c r="AE188" s="10"/>
      <c r="AF188" s="10"/>
      <c r="AG188" s="10"/>
    </row>
    <row r="189" spans="2:33" s="186" customFormat="1" ht="15" x14ac:dyDescent="0.25">
      <c r="B189" s="282"/>
      <c r="C189" s="282"/>
      <c r="D189" s="219"/>
      <c r="E189" s="10"/>
      <c r="F189" s="271"/>
      <c r="G189" s="11"/>
      <c r="H189" s="11"/>
      <c r="I189" s="271"/>
      <c r="J189" s="271"/>
      <c r="K189" s="271"/>
      <c r="L189" s="282"/>
      <c r="M189" s="282"/>
      <c r="N189" s="219"/>
      <c r="O189" s="10"/>
      <c r="P189" s="10"/>
      <c r="Q189" s="10"/>
      <c r="R189" s="10"/>
      <c r="S189" s="10"/>
      <c r="T189" s="10"/>
      <c r="U189" s="10"/>
      <c r="V189" s="10"/>
      <c r="W189" s="10"/>
      <c r="X189" s="10"/>
      <c r="Y189" s="10"/>
      <c r="Z189" s="10"/>
      <c r="AA189" s="10"/>
      <c r="AB189" s="10"/>
      <c r="AC189" s="145"/>
      <c r="AD189" s="161"/>
      <c r="AE189" s="10"/>
      <c r="AF189" s="10"/>
      <c r="AG189" s="10"/>
    </row>
    <row r="190" spans="2:33" s="186" customFormat="1" x14ac:dyDescent="0.3">
      <c r="B190" s="282"/>
      <c r="C190" s="282"/>
      <c r="D190" s="219"/>
      <c r="E190" s="10"/>
      <c r="F190" s="271"/>
      <c r="G190" s="11"/>
      <c r="H190" s="11"/>
      <c r="I190" s="271"/>
      <c r="J190" s="271"/>
      <c r="K190" s="271"/>
      <c r="L190" s="282"/>
      <c r="M190" s="282"/>
      <c r="N190" s="219"/>
      <c r="O190" s="10"/>
      <c r="P190" s="10"/>
      <c r="Q190" s="10"/>
      <c r="R190" s="10"/>
      <c r="S190" s="10"/>
      <c r="T190" s="10"/>
      <c r="U190" s="10"/>
      <c r="V190" s="10"/>
      <c r="W190" s="10"/>
      <c r="X190" s="10"/>
      <c r="Y190" s="10"/>
      <c r="Z190" s="10"/>
      <c r="AA190" s="10"/>
      <c r="AB190" s="10"/>
      <c r="AC190" s="153" t="s">
        <v>286</v>
      </c>
      <c r="AD190" s="161">
        <f>'DCF '!R27</f>
        <v>82017467.881511286</v>
      </c>
      <c r="AE190" s="10"/>
      <c r="AF190" s="10"/>
      <c r="AG190" s="10"/>
    </row>
    <row r="191" spans="2:33" s="186" customFormat="1" x14ac:dyDescent="0.3">
      <c r="B191" s="282"/>
      <c r="C191" s="282"/>
      <c r="D191" s="219"/>
      <c r="E191" s="10"/>
      <c r="F191" s="271"/>
      <c r="G191" s="11"/>
      <c r="H191" s="11"/>
      <c r="I191" s="271"/>
      <c r="J191" s="271"/>
      <c r="K191" s="271"/>
      <c r="L191" s="282"/>
      <c r="M191" s="282"/>
      <c r="N191" s="219"/>
      <c r="O191" s="10"/>
      <c r="P191" s="10"/>
      <c r="Q191" s="10"/>
      <c r="R191" s="10"/>
      <c r="S191" s="10"/>
      <c r="T191" s="10"/>
      <c r="U191" s="10"/>
      <c r="V191" s="10"/>
      <c r="W191" s="10"/>
      <c r="X191" s="10"/>
      <c r="Y191" s="10"/>
      <c r="Z191" s="10"/>
      <c r="AA191" s="10"/>
      <c r="AB191" s="10"/>
      <c r="AC191" s="153" t="s">
        <v>620</v>
      </c>
      <c r="AD191" s="151">
        <f>'DCF '!R29</f>
        <v>147000</v>
      </c>
      <c r="AE191" s="10"/>
      <c r="AF191" s="10"/>
      <c r="AG191" s="10"/>
    </row>
    <row r="192" spans="2:33" s="186" customFormat="1" ht="78" x14ac:dyDescent="0.3">
      <c r="B192" s="282"/>
      <c r="C192" s="282"/>
      <c r="D192" s="219"/>
      <c r="E192" s="10"/>
      <c r="F192" s="271"/>
      <c r="G192" s="11"/>
      <c r="H192" s="11"/>
      <c r="I192" s="271"/>
      <c r="J192" s="271"/>
      <c r="K192" s="271"/>
      <c r="L192" s="282"/>
      <c r="M192" s="282"/>
      <c r="N192" s="219"/>
      <c r="O192" s="10"/>
      <c r="P192" s="10"/>
      <c r="Q192" s="10"/>
      <c r="R192" s="10"/>
      <c r="S192" s="10"/>
      <c r="T192" s="10"/>
      <c r="U192" s="10"/>
      <c r="V192" s="10"/>
      <c r="W192" s="10"/>
      <c r="X192" s="10"/>
      <c r="Y192" s="10"/>
      <c r="Z192" s="10"/>
      <c r="AA192" s="10"/>
      <c r="AB192" s="10"/>
      <c r="AC192" s="177" t="s">
        <v>289</v>
      </c>
      <c r="AD192" s="151">
        <f>'DCF '!R30</f>
        <v>7925000</v>
      </c>
      <c r="AE192" s="10"/>
      <c r="AF192" s="10"/>
      <c r="AG192" s="10"/>
    </row>
    <row r="193" spans="2:30" s="186" customFormat="1" x14ac:dyDescent="0.3">
      <c r="B193" s="282"/>
      <c r="C193" s="282"/>
      <c r="D193" s="219"/>
      <c r="E193" s="10"/>
      <c r="F193" s="271"/>
      <c r="G193" s="11"/>
      <c r="H193" s="11"/>
      <c r="I193" s="271"/>
      <c r="J193" s="271"/>
      <c r="K193" s="271"/>
      <c r="L193" s="282"/>
      <c r="M193" s="282"/>
      <c r="N193" s="219"/>
      <c r="O193" s="10"/>
      <c r="P193" s="10"/>
      <c r="Q193" s="10"/>
      <c r="R193" s="10"/>
      <c r="S193" s="10"/>
      <c r="T193" s="10"/>
      <c r="U193" s="10"/>
      <c r="V193" s="10"/>
      <c r="W193" s="10"/>
      <c r="X193" s="10"/>
      <c r="Y193" s="10"/>
      <c r="Z193" s="10"/>
      <c r="AA193" s="10"/>
      <c r="AB193" s="10"/>
      <c r="AC193" s="153" t="s">
        <v>290</v>
      </c>
      <c r="AD193" s="151">
        <f>'DCF '!R31</f>
        <v>70401898.441950411</v>
      </c>
    </row>
    <row r="194" spans="2:30" s="186" customFormat="1" x14ac:dyDescent="0.3">
      <c r="B194" s="282"/>
      <c r="C194" s="282"/>
      <c r="D194" s="219"/>
      <c r="E194" s="10"/>
      <c r="F194" s="271"/>
      <c r="G194" s="11"/>
      <c r="H194" s="11"/>
      <c r="I194" s="271"/>
      <c r="J194" s="10"/>
      <c r="K194" s="10"/>
      <c r="L194" s="10"/>
      <c r="M194" s="282"/>
      <c r="N194" s="219"/>
      <c r="O194" s="10"/>
      <c r="P194" s="10"/>
      <c r="Q194" s="10"/>
      <c r="R194" s="10"/>
      <c r="S194" s="10"/>
      <c r="T194" s="10"/>
      <c r="U194" s="10"/>
      <c r="V194" s="10"/>
      <c r="W194" s="10"/>
      <c r="X194" s="10"/>
      <c r="Y194" s="10"/>
      <c r="Z194" s="10"/>
      <c r="AA194" s="10"/>
      <c r="AB194" s="10"/>
      <c r="AC194" s="145" t="s">
        <v>291</v>
      </c>
      <c r="AD194" s="151">
        <v>-32688</v>
      </c>
    </row>
    <row r="195" spans="2:30" s="186" customFormat="1" ht="45" x14ac:dyDescent="0.25">
      <c r="B195" s="282"/>
      <c r="C195" s="282"/>
      <c r="D195" s="219"/>
      <c r="E195" s="10"/>
      <c r="F195" s="271"/>
      <c r="G195" s="11"/>
      <c r="H195" s="11"/>
      <c r="I195" s="271" t="s">
        <v>621</v>
      </c>
      <c r="J195" s="10"/>
      <c r="K195" s="10"/>
      <c r="L195" s="10"/>
      <c r="M195" s="282"/>
      <c r="N195" s="219"/>
      <c r="O195" s="10"/>
      <c r="P195" s="10"/>
      <c r="Q195" s="10"/>
      <c r="R195" s="10"/>
      <c r="S195" s="10"/>
      <c r="T195" s="10"/>
      <c r="U195" s="10"/>
      <c r="V195" s="10"/>
      <c r="W195" s="10"/>
      <c r="X195" s="10"/>
      <c r="Y195" s="10"/>
      <c r="Z195" s="10"/>
      <c r="AA195" s="10"/>
      <c r="AB195" s="10"/>
      <c r="AC195" s="179" t="s">
        <v>293</v>
      </c>
      <c r="AD195" s="176">
        <f>'DCF '!R34</f>
        <v>124000</v>
      </c>
    </row>
    <row r="196" spans="2:30" s="186" customFormat="1" x14ac:dyDescent="0.3">
      <c r="B196" s="282"/>
      <c r="C196" s="282"/>
      <c r="D196" s="219"/>
      <c r="E196" s="10"/>
      <c r="F196" s="271"/>
      <c r="G196" s="11"/>
      <c r="H196" s="11" t="s">
        <v>622</v>
      </c>
      <c r="I196" s="357">
        <f>(54600000-'DCF '!R35-'DCF '!R34+'DCF '!R32)/'DCF '!R38</f>
        <v>83.384177809440388</v>
      </c>
      <c r="J196" s="10"/>
      <c r="K196" s="10"/>
      <c r="L196" s="10"/>
      <c r="M196" s="282"/>
      <c r="N196" s="219"/>
      <c r="O196" s="10"/>
      <c r="P196" s="10"/>
      <c r="Q196" s="10"/>
      <c r="R196" s="10"/>
      <c r="S196" s="10"/>
      <c r="T196" s="10"/>
      <c r="U196" s="10"/>
      <c r="V196" s="10"/>
      <c r="W196" s="10"/>
      <c r="X196" s="10"/>
      <c r="Y196" s="10"/>
      <c r="Z196" s="10"/>
      <c r="AA196" s="10"/>
      <c r="AB196" s="10"/>
      <c r="AC196" s="145" t="s">
        <v>294</v>
      </c>
      <c r="AD196" s="151">
        <f>'DCF '!R35</f>
        <v>20000</v>
      </c>
    </row>
    <row r="197" spans="2:30" s="186" customFormat="1" ht="15" x14ac:dyDescent="0.25">
      <c r="B197" s="282"/>
      <c r="C197" s="282"/>
      <c r="D197" s="219"/>
      <c r="E197" s="10"/>
      <c r="F197" s="271"/>
      <c r="G197" s="11"/>
      <c r="H197" s="11" t="s">
        <v>623</v>
      </c>
      <c r="I197" s="376">
        <f>(57700000-'DCF '!R35-'DCF '!R34+'DCF '!R32)/'DCF '!R38</f>
        <v>88.133814347717689</v>
      </c>
      <c r="J197" s="10"/>
      <c r="K197" s="10"/>
      <c r="L197" s="10"/>
      <c r="M197" s="282"/>
      <c r="N197" s="219"/>
      <c r="O197" s="10"/>
      <c r="P197" s="10"/>
      <c r="Q197" s="10"/>
      <c r="R197" s="10"/>
      <c r="S197" s="10"/>
      <c r="T197" s="10"/>
      <c r="U197" s="10"/>
      <c r="V197" s="10"/>
      <c r="W197" s="10"/>
      <c r="X197" s="10"/>
      <c r="Y197" s="10"/>
      <c r="Z197" s="10"/>
      <c r="AA197" s="10"/>
      <c r="AB197" s="10"/>
      <c r="AC197" s="10" t="s">
        <v>289</v>
      </c>
      <c r="AD197" s="377">
        <f>AD192</f>
        <v>7925000</v>
      </c>
    </row>
    <row r="198" spans="2:30" s="186" customFormat="1" x14ac:dyDescent="0.3">
      <c r="B198" s="282"/>
      <c r="C198" s="282"/>
      <c r="D198" s="219"/>
      <c r="E198" s="10"/>
      <c r="F198" s="271"/>
      <c r="G198" s="11"/>
      <c r="H198" s="11" t="s">
        <v>624</v>
      </c>
      <c r="I198" s="357">
        <f>(140251000+'DCF '!R20-'DCF '!R29+'DCF '!R32-'DCF '!R34-'DCF '!R35)/'DCF '!R38</f>
        <v>184.2242176187475</v>
      </c>
      <c r="J198" s="10"/>
      <c r="K198" s="10"/>
      <c r="L198" s="10"/>
      <c r="M198" s="282"/>
      <c r="N198" s="219"/>
      <c r="O198" s="10"/>
      <c r="P198" s="10"/>
      <c r="Q198" s="10"/>
      <c r="R198" s="10"/>
      <c r="S198" s="10"/>
      <c r="T198" s="10"/>
      <c r="U198" s="10"/>
      <c r="V198" s="10"/>
      <c r="W198" s="10"/>
      <c r="X198" s="10"/>
      <c r="Y198" s="10"/>
      <c r="Z198" s="10"/>
      <c r="AA198" s="10"/>
      <c r="AB198" s="10"/>
      <c r="AC198" s="153" t="s">
        <v>188</v>
      </c>
      <c r="AD198" s="145">
        <f>'DCF '!R37</f>
        <v>62300210.441950411</v>
      </c>
    </row>
    <row r="199" spans="2:30" s="186" customFormat="1" x14ac:dyDescent="0.3">
      <c r="B199" s="282"/>
      <c r="C199" s="282"/>
      <c r="D199" s="219"/>
      <c r="E199" s="10"/>
      <c r="F199" s="271"/>
      <c r="G199" s="11"/>
      <c r="H199" s="11"/>
      <c r="I199" s="357"/>
      <c r="J199" s="10"/>
      <c r="K199" s="10"/>
      <c r="L199" s="10"/>
      <c r="M199" s="282"/>
      <c r="N199" s="219"/>
      <c r="O199" s="10"/>
      <c r="P199" s="10"/>
      <c r="Q199" s="10"/>
      <c r="R199" s="10"/>
      <c r="S199" s="10"/>
      <c r="T199" s="10"/>
      <c r="U199" s="10"/>
      <c r="V199" s="10"/>
      <c r="W199" s="10"/>
      <c r="X199" s="10"/>
      <c r="Y199" s="10"/>
      <c r="Z199" s="10"/>
      <c r="AA199" s="10"/>
      <c r="AB199" s="10"/>
      <c r="AC199" s="145" t="s">
        <v>295</v>
      </c>
      <c r="AD199" s="151">
        <f>'DCF '!R38</f>
        <v>652681.52099999995</v>
      </c>
    </row>
    <row r="200" spans="2:30" s="186" customFormat="1" x14ac:dyDescent="0.3">
      <c r="B200" s="282"/>
      <c r="C200" s="282"/>
      <c r="D200" s="219"/>
      <c r="E200" s="10"/>
      <c r="F200" s="271"/>
      <c r="G200" s="11"/>
      <c r="H200" s="11"/>
      <c r="I200" s="357"/>
      <c r="J200" s="10"/>
      <c r="K200" s="10"/>
      <c r="L200" s="10"/>
      <c r="M200" s="282"/>
      <c r="N200" s="219"/>
      <c r="O200" s="10"/>
      <c r="P200" s="10"/>
      <c r="Q200" s="10"/>
      <c r="R200" s="10"/>
      <c r="S200" s="10"/>
      <c r="T200" s="10"/>
      <c r="U200" s="10"/>
      <c r="V200" s="10"/>
      <c r="W200" s="10"/>
      <c r="X200" s="10"/>
      <c r="Y200" s="10"/>
      <c r="Z200" s="10"/>
      <c r="AA200" s="10"/>
      <c r="AB200" s="10"/>
      <c r="AC200" s="153" t="s">
        <v>296</v>
      </c>
      <c r="AD200" s="158">
        <f>AD198/AD199</f>
        <v>95.452695437887868</v>
      </c>
    </row>
    <row r="201" spans="2:30" s="186" customFormat="1" ht="15" x14ac:dyDescent="0.25">
      <c r="B201" s="282"/>
      <c r="C201" s="282"/>
      <c r="D201" s="219"/>
      <c r="E201" s="10"/>
      <c r="F201" s="271"/>
      <c r="G201" s="11"/>
      <c r="H201" s="11"/>
      <c r="I201" s="357"/>
      <c r="J201" s="271"/>
      <c r="K201" s="271"/>
      <c r="L201" s="282"/>
      <c r="M201" s="282"/>
      <c r="N201" s="219"/>
      <c r="O201" s="10"/>
      <c r="P201" s="10"/>
      <c r="Q201" s="10"/>
      <c r="R201" s="10"/>
      <c r="S201" s="10"/>
      <c r="T201" s="10"/>
      <c r="U201" s="10"/>
      <c r="V201" s="10"/>
      <c r="W201" s="10"/>
      <c r="X201" s="10"/>
      <c r="Y201" s="10"/>
      <c r="Z201" s="10"/>
      <c r="AA201" s="10"/>
      <c r="AB201" s="10"/>
      <c r="AC201" s="10"/>
      <c r="AD201" s="10"/>
    </row>
    <row r="202" spans="2:30" s="186" customFormat="1" x14ac:dyDescent="0.3">
      <c r="B202" s="282"/>
      <c r="C202" s="282"/>
      <c r="D202" s="219"/>
      <c r="E202" s="10"/>
      <c r="F202" s="271"/>
      <c r="G202" s="11"/>
      <c r="H202" s="11"/>
      <c r="I202" s="357"/>
      <c r="J202" s="271"/>
      <c r="K202" s="271"/>
      <c r="L202" s="282"/>
      <c r="M202" s="282"/>
      <c r="N202" s="219"/>
      <c r="O202" s="10"/>
      <c r="P202" s="10"/>
      <c r="Q202" s="10"/>
      <c r="R202" s="10"/>
      <c r="S202" s="10"/>
      <c r="T202" s="10"/>
      <c r="U202" s="10"/>
      <c r="V202" s="10"/>
      <c r="W202" s="10"/>
      <c r="X202" s="10"/>
      <c r="Y202" s="10"/>
      <c r="Z202" s="10"/>
      <c r="AA202" s="10"/>
      <c r="AB202" s="10"/>
      <c r="AC202" s="10"/>
      <c r="AD202" s="151"/>
    </row>
    <row r="203" spans="2:30" s="186" customFormat="1" ht="15" x14ac:dyDescent="0.25">
      <c r="B203" s="282"/>
      <c r="C203" s="282"/>
      <c r="D203" s="219"/>
      <c r="E203" s="10"/>
      <c r="F203" s="271"/>
      <c r="G203" s="11"/>
      <c r="H203" s="11"/>
      <c r="I203" s="357"/>
      <c r="J203" s="271"/>
      <c r="K203" s="271"/>
      <c r="L203" s="282"/>
      <c r="M203" s="282"/>
      <c r="N203" s="219"/>
      <c r="O203" s="10"/>
      <c r="P203" s="10"/>
      <c r="Q203" s="10"/>
      <c r="R203" s="10"/>
      <c r="S203" s="10"/>
      <c r="T203" s="10"/>
      <c r="U203" s="10"/>
      <c r="V203" s="10"/>
      <c r="W203" s="10"/>
      <c r="X203" s="10"/>
      <c r="Y203" s="10"/>
      <c r="Z203" s="10"/>
      <c r="AA203" s="10"/>
      <c r="AB203" s="10"/>
      <c r="AC203" s="10"/>
      <c r="AD203" s="10"/>
    </row>
    <row r="204" spans="2:30" s="186" customFormat="1" ht="15" x14ac:dyDescent="0.25">
      <c r="B204" s="282"/>
      <c r="C204" s="282"/>
      <c r="D204" s="219"/>
      <c r="E204" s="10"/>
      <c r="F204" s="271"/>
      <c r="G204" s="11"/>
      <c r="H204" s="11"/>
      <c r="I204" s="357"/>
      <c r="J204" s="271"/>
      <c r="K204" s="271"/>
      <c r="L204" s="282"/>
      <c r="M204" s="282"/>
      <c r="N204" s="219"/>
      <c r="O204" s="10"/>
      <c r="P204" s="10"/>
      <c r="Q204" s="10"/>
      <c r="R204" s="10"/>
      <c r="S204" s="10"/>
      <c r="T204" s="10"/>
      <c r="U204" s="10"/>
      <c r="V204" s="10"/>
      <c r="W204" s="10"/>
      <c r="X204" s="10"/>
      <c r="Y204" s="10"/>
      <c r="Z204" s="10"/>
      <c r="AA204" s="10"/>
      <c r="AB204" s="10"/>
      <c r="AC204" s="10"/>
      <c r="AD204" s="10"/>
    </row>
    <row r="205" spans="2:30" s="186" customFormat="1" ht="15" x14ac:dyDescent="0.25">
      <c r="B205" s="282"/>
      <c r="C205" s="282"/>
      <c r="D205" s="219"/>
      <c r="E205" s="10"/>
      <c r="F205" s="271"/>
      <c r="G205" s="11"/>
      <c r="H205" s="11"/>
      <c r="I205" s="357"/>
      <c r="J205" s="271"/>
      <c r="K205" s="271"/>
      <c r="L205" s="282"/>
      <c r="M205" s="282"/>
      <c r="N205" s="219"/>
      <c r="O205" s="10"/>
      <c r="P205" s="10"/>
      <c r="Q205" s="10"/>
      <c r="R205" s="10"/>
      <c r="S205" s="10"/>
      <c r="T205" s="10"/>
      <c r="U205" s="10"/>
      <c r="V205" s="10"/>
      <c r="W205" s="10"/>
      <c r="X205" s="10"/>
      <c r="Y205" s="10"/>
      <c r="Z205" s="10"/>
      <c r="AA205" s="10"/>
      <c r="AB205" s="10"/>
      <c r="AC205" s="10"/>
      <c r="AD205" s="10"/>
    </row>
    <row r="206" spans="2:30" s="186" customFormat="1" ht="15" x14ac:dyDescent="0.25">
      <c r="B206" s="282"/>
      <c r="C206" s="282"/>
      <c r="D206" s="219"/>
      <c r="E206" s="10"/>
      <c r="F206" s="271"/>
      <c r="G206" s="11"/>
      <c r="H206" s="11"/>
      <c r="I206" s="271"/>
      <c r="J206" s="271"/>
      <c r="K206" s="271"/>
      <c r="L206" s="282"/>
      <c r="M206" s="282"/>
      <c r="N206" s="219"/>
      <c r="O206" s="10"/>
      <c r="P206" s="10"/>
      <c r="Q206" s="10"/>
      <c r="R206" s="10"/>
      <c r="S206" s="10"/>
      <c r="T206" s="10"/>
      <c r="U206" s="10"/>
      <c r="V206" s="10"/>
      <c r="W206" s="10"/>
      <c r="X206" s="10"/>
      <c r="Y206" s="10"/>
      <c r="Z206" s="10"/>
      <c r="AA206" s="10"/>
      <c r="AB206" s="10"/>
      <c r="AC206" s="10"/>
      <c r="AD206" s="10"/>
    </row>
    <row r="207" spans="2:30" s="186" customFormat="1" ht="15" x14ac:dyDescent="0.25">
      <c r="B207" s="282"/>
      <c r="C207" s="282"/>
      <c r="D207" s="219"/>
      <c r="E207" s="10"/>
      <c r="F207" s="271"/>
      <c r="G207" s="11"/>
      <c r="H207" s="11"/>
      <c r="I207" s="271"/>
      <c r="J207" s="271"/>
      <c r="K207" s="271"/>
      <c r="L207" s="282"/>
      <c r="M207" s="282"/>
      <c r="N207" s="219"/>
      <c r="O207" s="10"/>
      <c r="P207" s="10"/>
      <c r="Q207" s="10"/>
      <c r="R207" s="10"/>
      <c r="S207" s="10"/>
      <c r="T207" s="10"/>
      <c r="U207" s="10"/>
      <c r="V207" s="10"/>
      <c r="W207" s="10"/>
      <c r="X207" s="10"/>
      <c r="Y207" s="10"/>
      <c r="Z207" s="10"/>
      <c r="AA207" s="10"/>
      <c r="AB207" s="10"/>
      <c r="AC207" s="10"/>
      <c r="AD207" s="10"/>
    </row>
    <row r="208" spans="2:30" s="186" customFormat="1" ht="15" x14ac:dyDescent="0.25">
      <c r="B208" s="282"/>
      <c r="C208" s="282"/>
      <c r="D208" s="219"/>
      <c r="E208" s="10"/>
      <c r="F208" s="271"/>
      <c r="G208" s="11"/>
      <c r="H208" s="11"/>
      <c r="I208" s="271"/>
      <c r="J208" s="271"/>
      <c r="K208" s="271"/>
      <c r="L208" s="282"/>
      <c r="M208" s="282"/>
      <c r="N208" s="219"/>
      <c r="O208" s="10"/>
      <c r="P208" s="10"/>
      <c r="Q208" s="10"/>
      <c r="R208" s="10"/>
      <c r="S208" s="10"/>
      <c r="T208" s="10"/>
      <c r="U208" s="10"/>
      <c r="V208" s="10"/>
      <c r="W208" s="10"/>
      <c r="X208" s="10"/>
      <c r="Y208" s="10"/>
      <c r="Z208" s="10"/>
      <c r="AA208" s="10"/>
      <c r="AB208" s="10"/>
      <c r="AC208" s="10"/>
      <c r="AD208" s="10"/>
    </row>
    <row r="209" spans="2:14" s="186" customFormat="1" ht="15" x14ac:dyDescent="0.25">
      <c r="B209" s="282"/>
      <c r="C209" s="282"/>
      <c r="D209" s="219"/>
      <c r="E209" s="10"/>
      <c r="F209" s="271"/>
      <c r="G209" s="11"/>
      <c r="H209" s="11"/>
      <c r="I209" s="271"/>
      <c r="J209" s="271"/>
      <c r="K209" s="271"/>
      <c r="L209" s="282"/>
      <c r="M209" s="282"/>
      <c r="N209" s="219"/>
    </row>
    <row r="210" spans="2:14" s="186" customFormat="1" ht="15" x14ac:dyDescent="0.25">
      <c r="B210" s="282"/>
      <c r="C210" s="282"/>
      <c r="D210" s="219"/>
      <c r="E210" s="10"/>
      <c r="F210" s="271"/>
      <c r="G210" s="11"/>
      <c r="H210" s="11"/>
      <c r="I210" s="271"/>
      <c r="J210" s="271"/>
      <c r="K210" s="271"/>
      <c r="L210" s="282"/>
      <c r="M210" s="282"/>
      <c r="N210" s="219"/>
    </row>
    <row r="211" spans="2:14" s="186" customFormat="1" ht="15" x14ac:dyDescent="0.25">
      <c r="B211" s="282"/>
      <c r="C211" s="282"/>
      <c r="D211" s="219"/>
      <c r="E211" s="10"/>
      <c r="F211" s="271"/>
      <c r="G211" s="11"/>
      <c r="H211" s="11"/>
      <c r="I211" s="271"/>
      <c r="J211" s="271"/>
      <c r="K211" s="271"/>
      <c r="L211" s="282"/>
      <c r="M211" s="282"/>
      <c r="N211" s="219"/>
    </row>
    <row r="212" spans="2:14" s="186" customFormat="1" ht="15" x14ac:dyDescent="0.25">
      <c r="B212" s="282"/>
      <c r="C212" s="282"/>
      <c r="D212" s="219"/>
      <c r="E212" s="10"/>
      <c r="F212" s="271"/>
      <c r="G212" s="11"/>
      <c r="H212" s="11"/>
      <c r="I212" s="271"/>
      <c r="J212" s="271"/>
      <c r="K212" s="271"/>
      <c r="L212" s="282"/>
      <c r="M212" s="282"/>
      <c r="N212" s="219"/>
    </row>
    <row r="213" spans="2:14" s="186" customFormat="1" ht="15" x14ac:dyDescent="0.25">
      <c r="B213" s="282"/>
      <c r="C213" s="282"/>
      <c r="D213" s="219"/>
      <c r="E213" s="10"/>
      <c r="F213" s="271"/>
      <c r="G213" s="11"/>
      <c r="H213" s="11"/>
      <c r="I213" s="271"/>
      <c r="J213" s="271"/>
      <c r="K213" s="271"/>
      <c r="L213" s="282"/>
      <c r="M213" s="282"/>
      <c r="N213" s="219"/>
    </row>
    <row r="214" spans="2:14" s="186" customFormat="1" x14ac:dyDescent="0.3">
      <c r="B214" s="282"/>
      <c r="C214" s="282"/>
      <c r="D214" s="219"/>
      <c r="E214" s="10"/>
      <c r="F214" s="271"/>
      <c r="G214" s="11"/>
      <c r="H214" s="11"/>
      <c r="I214" t="s">
        <v>625</v>
      </c>
      <c r="J214">
        <v>36287000</v>
      </c>
      <c r="K214" s="271"/>
      <c r="L214" s="282"/>
      <c r="M214" s="282"/>
      <c r="N214" s="219"/>
    </row>
    <row r="215" spans="2:14" s="186" customFormat="1" x14ac:dyDescent="0.3">
      <c r="B215" s="282"/>
      <c r="C215" s="282"/>
      <c r="D215" s="219"/>
      <c r="E215" s="10"/>
      <c r="F215" s="271"/>
      <c r="G215" s="11"/>
      <c r="H215" s="11"/>
      <c r="I215" t="s">
        <v>626</v>
      </c>
      <c r="J215">
        <v>31594000</v>
      </c>
      <c r="K215" s="271"/>
      <c r="L215" s="282"/>
      <c r="M215" s="282"/>
      <c r="N215" s="219"/>
    </row>
    <row r="216" spans="2:14" s="186" customFormat="1" x14ac:dyDescent="0.3">
      <c r="B216" s="282"/>
      <c r="C216" s="282"/>
      <c r="D216" s="219"/>
      <c r="E216" s="10"/>
      <c r="F216" s="271"/>
      <c r="G216" s="11"/>
      <c r="H216" s="11"/>
      <c r="I216" t="s">
        <v>627</v>
      </c>
      <c r="J216">
        <f>J214+J215</f>
        <v>67881000</v>
      </c>
      <c r="K216" s="271"/>
      <c r="L216" s="282"/>
      <c r="M216" s="282"/>
      <c r="N216" s="219"/>
    </row>
    <row r="217" spans="2:14" s="186" customFormat="1" ht="15" x14ac:dyDescent="0.25">
      <c r="B217" s="282"/>
      <c r="C217" s="282"/>
      <c r="D217" s="219"/>
      <c r="E217" s="10"/>
      <c r="F217" s="271"/>
      <c r="G217" s="11"/>
      <c r="H217" s="11"/>
      <c r="I217" s="271"/>
      <c r="J217" s="271"/>
      <c r="K217" s="271"/>
      <c r="L217" s="282"/>
      <c r="M217" s="282"/>
      <c r="N217" s="219"/>
    </row>
    <row r="218" spans="2:14" s="186" customFormat="1" ht="15" x14ac:dyDescent="0.25">
      <c r="B218" s="282"/>
      <c r="C218" s="282"/>
      <c r="D218" s="219"/>
      <c r="E218" s="10"/>
      <c r="F218" s="271"/>
      <c r="G218" s="11"/>
      <c r="H218" s="11"/>
      <c r="I218" s="271"/>
      <c r="J218" s="271"/>
      <c r="K218" s="271"/>
      <c r="L218" s="282"/>
      <c r="M218" s="282"/>
      <c r="N218" s="219"/>
    </row>
    <row r="219" spans="2:14" s="186" customFormat="1" ht="15" x14ac:dyDescent="0.25">
      <c r="B219" s="282"/>
      <c r="C219" s="282"/>
      <c r="D219" s="219"/>
      <c r="E219" s="10"/>
      <c r="F219" s="271"/>
      <c r="G219" s="11"/>
      <c r="H219" s="11"/>
      <c r="I219" s="271"/>
      <c r="J219" s="271"/>
      <c r="K219" s="271"/>
      <c r="L219" s="282"/>
      <c r="M219" s="282"/>
      <c r="N219" s="219"/>
    </row>
    <row r="220" spans="2:14" s="186" customFormat="1" ht="15" x14ac:dyDescent="0.25">
      <c r="B220" s="282"/>
      <c r="C220" s="282"/>
      <c r="D220" s="219"/>
      <c r="E220" s="10"/>
      <c r="F220" s="271"/>
      <c r="G220" s="11"/>
      <c r="H220" s="11"/>
      <c r="I220" s="271"/>
      <c r="J220" s="271"/>
      <c r="K220" s="271"/>
      <c r="L220" s="282"/>
      <c r="M220" s="282"/>
      <c r="N220" s="219"/>
    </row>
    <row r="221" spans="2:14" s="186" customFormat="1" ht="15" x14ac:dyDescent="0.25">
      <c r="B221" s="282"/>
      <c r="C221" s="282"/>
      <c r="D221" s="219"/>
      <c r="E221" s="10"/>
      <c r="F221" s="271"/>
      <c r="G221" s="11"/>
      <c r="H221" s="11"/>
      <c r="I221" s="271"/>
      <c r="J221" s="271"/>
      <c r="K221" s="271"/>
      <c r="L221" s="282"/>
      <c r="M221" s="282"/>
      <c r="N221" s="219"/>
    </row>
    <row r="222" spans="2:14" s="186" customFormat="1" ht="15" x14ac:dyDescent="0.25">
      <c r="B222" s="282"/>
      <c r="C222" s="282"/>
      <c r="D222" s="219"/>
      <c r="E222" s="10"/>
      <c r="F222" s="271"/>
      <c r="G222" s="11"/>
      <c r="H222" s="11"/>
      <c r="I222" s="271"/>
      <c r="J222" s="271"/>
      <c r="K222" s="271"/>
      <c r="L222" s="282"/>
      <c r="M222" s="282"/>
      <c r="N222" s="219"/>
    </row>
    <row r="223" spans="2:14" s="186" customFormat="1" ht="15" x14ac:dyDescent="0.25">
      <c r="B223" s="282"/>
      <c r="C223" s="282"/>
      <c r="D223" s="219"/>
      <c r="E223" s="10"/>
      <c r="F223" s="271"/>
      <c r="G223" s="11"/>
      <c r="H223" s="11"/>
      <c r="I223" s="271"/>
      <c r="J223" s="271"/>
      <c r="K223" s="271"/>
      <c r="L223" s="282"/>
      <c r="M223" s="282"/>
      <c r="N223" s="219"/>
    </row>
    <row r="224" spans="2:14" s="186" customFormat="1" ht="15" x14ac:dyDescent="0.25">
      <c r="B224" s="282"/>
      <c r="C224" s="282"/>
      <c r="D224" s="219"/>
      <c r="E224" s="10"/>
      <c r="F224" s="271"/>
      <c r="G224" s="11"/>
      <c r="H224" s="11"/>
      <c r="I224" s="271"/>
      <c r="J224" s="271"/>
      <c r="K224" s="271"/>
      <c r="L224" s="282"/>
      <c r="M224" s="282"/>
      <c r="N224" s="219"/>
    </row>
    <row r="225" spans="2:14" s="186" customFormat="1" ht="15" x14ac:dyDescent="0.25">
      <c r="B225" s="282"/>
      <c r="C225" s="282"/>
      <c r="D225" s="219"/>
      <c r="E225" s="10"/>
      <c r="F225" s="271"/>
      <c r="G225" s="11"/>
      <c r="H225" s="11"/>
      <c r="I225" s="271"/>
      <c r="J225" s="271"/>
      <c r="K225" s="271"/>
      <c r="L225" s="282"/>
      <c r="M225" s="282"/>
      <c r="N225" s="219"/>
    </row>
    <row r="226" spans="2:14" s="186" customFormat="1" ht="15" x14ac:dyDescent="0.25">
      <c r="B226" s="282"/>
      <c r="C226" s="282"/>
      <c r="D226" s="219"/>
      <c r="E226" s="10"/>
      <c r="F226" s="271"/>
      <c r="G226" s="11"/>
      <c r="H226" s="11"/>
      <c r="I226" s="271"/>
      <c r="J226" s="271"/>
      <c r="K226" s="271"/>
      <c r="L226" s="282"/>
      <c r="M226" s="282"/>
      <c r="N226" s="219"/>
    </row>
    <row r="227" spans="2:14" s="186" customFormat="1" ht="15" x14ac:dyDescent="0.25">
      <c r="B227" s="282"/>
      <c r="C227" s="282"/>
      <c r="D227" s="219"/>
      <c r="E227" s="10"/>
      <c r="F227" s="271"/>
      <c r="G227" s="11"/>
      <c r="H227" s="11"/>
      <c r="I227" s="271"/>
      <c r="J227" s="271"/>
      <c r="K227" s="271"/>
      <c r="L227" s="282"/>
      <c r="M227" s="282"/>
      <c r="N227" s="219"/>
    </row>
    <row r="228" spans="2:14" s="186" customFormat="1" ht="15" x14ac:dyDescent="0.25">
      <c r="B228" s="282"/>
      <c r="C228" s="282"/>
      <c r="D228" s="219"/>
      <c r="E228" s="10"/>
      <c r="F228" s="271"/>
      <c r="G228" s="11"/>
      <c r="H228" s="11"/>
      <c r="I228" s="271"/>
      <c r="J228" s="271"/>
      <c r="K228" s="271"/>
      <c r="L228" s="282"/>
      <c r="M228" s="282"/>
      <c r="N228" s="219"/>
    </row>
    <row r="229" spans="2:14" s="186" customFormat="1" ht="15" x14ac:dyDescent="0.25">
      <c r="B229" s="282"/>
      <c r="C229" s="282"/>
      <c r="D229" s="219"/>
      <c r="E229" s="10"/>
      <c r="F229" s="271"/>
      <c r="G229" s="11"/>
      <c r="H229" s="11"/>
      <c r="I229" s="271"/>
      <c r="J229" s="271"/>
      <c r="K229" s="271"/>
      <c r="L229" s="282"/>
      <c r="M229" s="282"/>
      <c r="N229" s="219"/>
    </row>
    <row r="230" spans="2:14" s="186" customFormat="1" ht="15" x14ac:dyDescent="0.25">
      <c r="B230" s="282"/>
      <c r="C230" s="282"/>
      <c r="D230" s="219"/>
      <c r="E230" s="10"/>
      <c r="F230" s="271"/>
      <c r="G230" s="11"/>
      <c r="H230" s="11"/>
      <c r="I230" s="271"/>
      <c r="J230" s="271"/>
      <c r="K230" s="271"/>
      <c r="L230" s="282"/>
      <c r="M230" s="282"/>
      <c r="N230" s="219"/>
    </row>
    <row r="231" spans="2:14" s="186" customFormat="1" ht="15" x14ac:dyDescent="0.25">
      <c r="B231" s="282"/>
      <c r="C231" s="282"/>
      <c r="D231" s="219"/>
      <c r="E231" s="10"/>
      <c r="F231" s="271"/>
      <c r="G231" s="11"/>
      <c r="H231" s="11"/>
      <c r="I231" s="271"/>
      <c r="J231" s="271"/>
      <c r="K231" s="271"/>
      <c r="L231" s="282"/>
      <c r="M231" s="282"/>
      <c r="N231" s="219"/>
    </row>
    <row r="232" spans="2:14" s="186" customFormat="1" ht="15" x14ac:dyDescent="0.25">
      <c r="B232" s="282"/>
      <c r="C232" s="282"/>
      <c r="D232" s="219"/>
      <c r="E232" s="10"/>
      <c r="F232" s="271"/>
      <c r="G232" s="11"/>
      <c r="H232" s="11"/>
      <c r="I232" s="271"/>
      <c r="J232" s="271"/>
      <c r="K232" s="271"/>
      <c r="L232" s="282"/>
      <c r="M232" s="282"/>
      <c r="N232" s="219"/>
    </row>
    <row r="233" spans="2:14" s="186" customFormat="1" ht="15" x14ac:dyDescent="0.25">
      <c r="B233" s="282"/>
      <c r="C233" s="282"/>
      <c r="D233" s="219"/>
      <c r="E233" s="10"/>
      <c r="F233" s="271"/>
      <c r="G233" s="11"/>
      <c r="H233" s="11"/>
      <c r="I233" s="271"/>
      <c r="J233" s="271"/>
      <c r="K233" s="271"/>
      <c r="L233" s="282"/>
      <c r="M233" s="282"/>
      <c r="N233" s="219"/>
    </row>
    <row r="234" spans="2:14" s="186" customFormat="1" ht="15" x14ac:dyDescent="0.25">
      <c r="B234" s="282"/>
      <c r="C234" s="282"/>
      <c r="D234" s="219"/>
      <c r="E234" s="10"/>
      <c r="F234" s="271"/>
      <c r="G234" s="11"/>
      <c r="H234" s="11"/>
      <c r="I234" s="271"/>
      <c r="J234" s="271"/>
      <c r="K234" s="271"/>
      <c r="L234" s="282"/>
      <c r="M234" s="282"/>
      <c r="N234" s="219"/>
    </row>
    <row r="235" spans="2:14" s="186" customFormat="1" ht="15" x14ac:dyDescent="0.25">
      <c r="B235" s="282"/>
      <c r="C235" s="282"/>
      <c r="D235" s="219"/>
      <c r="E235" s="10"/>
      <c r="F235" s="271"/>
      <c r="G235" s="11"/>
      <c r="H235" s="11"/>
      <c r="I235" s="271"/>
      <c r="J235" s="271"/>
      <c r="K235" s="271"/>
      <c r="L235" s="282"/>
      <c r="M235" s="282"/>
      <c r="N235" s="219"/>
    </row>
    <row r="236" spans="2:14" s="186" customFormat="1" ht="15" x14ac:dyDescent="0.25">
      <c r="B236" s="282"/>
      <c r="C236" s="282"/>
      <c r="D236" s="219"/>
      <c r="E236" s="10"/>
      <c r="F236" s="271"/>
      <c r="G236" s="11"/>
      <c r="H236" s="11"/>
      <c r="I236" s="271"/>
      <c r="J236" s="271"/>
      <c r="K236" s="271"/>
      <c r="L236" s="282"/>
      <c r="M236" s="282"/>
      <c r="N236" s="219"/>
    </row>
    <row r="237" spans="2:14" s="186" customFormat="1" ht="15" x14ac:dyDescent="0.25">
      <c r="B237" s="282"/>
      <c r="C237" s="282"/>
      <c r="D237" s="219"/>
      <c r="E237" s="10"/>
      <c r="F237" s="271"/>
      <c r="G237" s="11"/>
      <c r="H237" s="11"/>
      <c r="I237" s="271"/>
      <c r="J237" s="271"/>
      <c r="K237" s="271"/>
      <c r="L237" s="282"/>
      <c r="M237" s="282"/>
      <c r="N237" s="219"/>
    </row>
    <row r="238" spans="2:14" s="186" customFormat="1" ht="15" x14ac:dyDescent="0.25">
      <c r="B238" s="282"/>
      <c r="C238" s="282"/>
      <c r="D238" s="219"/>
      <c r="E238" s="10"/>
      <c r="F238" s="271"/>
      <c r="G238" s="11"/>
      <c r="H238" s="11"/>
      <c r="I238" s="271"/>
      <c r="J238" s="271"/>
      <c r="K238" s="271"/>
      <c r="L238" s="282"/>
      <c r="M238" s="282"/>
      <c r="N238" s="219"/>
    </row>
    <row r="239" spans="2:14" s="186" customFormat="1" ht="15" x14ac:dyDescent="0.25">
      <c r="B239" s="282"/>
      <c r="C239" s="282"/>
      <c r="D239" s="219"/>
      <c r="E239" s="10"/>
      <c r="F239" s="271"/>
      <c r="G239" s="11"/>
      <c r="H239" s="11"/>
      <c r="I239" s="271"/>
      <c r="J239" s="271"/>
      <c r="K239" s="271"/>
      <c r="L239" s="282"/>
      <c r="M239" s="282"/>
      <c r="N239" s="219"/>
    </row>
    <row r="240" spans="2:14" s="186" customFormat="1" ht="15" x14ac:dyDescent="0.25">
      <c r="B240" s="271"/>
      <c r="C240" s="270"/>
      <c r="D240" s="270"/>
      <c r="E240" s="10"/>
      <c r="F240" s="271"/>
      <c r="G240" s="11"/>
      <c r="H240" s="11"/>
      <c r="I240" s="271"/>
      <c r="J240" s="271"/>
      <c r="K240" s="271"/>
      <c r="L240" s="282"/>
      <c r="M240" s="282"/>
      <c r="N240" s="219"/>
    </row>
    <row r="241" spans="2:14" s="186" customFormat="1" ht="15" x14ac:dyDescent="0.25">
      <c r="B241" s="271"/>
      <c r="C241" s="270"/>
      <c r="D241" s="270"/>
      <c r="E241" s="10"/>
      <c r="F241" s="271"/>
      <c r="G241" s="11"/>
      <c r="H241" s="11"/>
      <c r="I241" s="271"/>
      <c r="J241" s="271"/>
      <c r="K241" s="271"/>
      <c r="L241" s="271"/>
      <c r="M241" s="10"/>
      <c r="N241" s="270"/>
    </row>
    <row r="242" spans="2:14" s="186" customFormat="1" ht="15" x14ac:dyDescent="0.25">
      <c r="B242" s="271"/>
      <c r="C242" s="270"/>
      <c r="D242" s="270"/>
      <c r="E242" s="10"/>
      <c r="F242" s="271"/>
      <c r="G242" s="11"/>
      <c r="H242" s="11"/>
      <c r="I242" s="271"/>
      <c r="J242" s="271"/>
      <c r="K242" s="271"/>
      <c r="L242" s="271"/>
      <c r="M242" s="10"/>
      <c r="N242" s="270"/>
    </row>
    <row r="243" spans="2:14" s="186" customFormat="1" ht="15" x14ac:dyDescent="0.25">
      <c r="B243" s="271"/>
      <c r="C243" s="270"/>
      <c r="D243" s="270"/>
      <c r="E243" s="10"/>
      <c r="F243" s="271"/>
      <c r="G243" s="11"/>
      <c r="H243" s="11"/>
      <c r="I243" s="271"/>
      <c r="J243" s="271"/>
      <c r="K243" s="271"/>
      <c r="L243" s="271"/>
      <c r="M243" s="10"/>
      <c r="N243" s="270"/>
    </row>
    <row r="244" spans="2:14" s="186" customFormat="1" ht="15" x14ac:dyDescent="0.25">
      <c r="B244" s="271"/>
      <c r="C244" s="270"/>
      <c r="D244" s="270"/>
      <c r="E244" s="10"/>
      <c r="F244" s="271"/>
      <c r="G244" s="11"/>
      <c r="H244" s="11"/>
      <c r="I244" s="271"/>
      <c r="J244" s="271"/>
      <c r="K244" s="271"/>
      <c r="L244" s="271"/>
      <c r="M244" s="10"/>
      <c r="N244" s="270"/>
    </row>
    <row r="245" spans="2:14" s="186" customFormat="1" ht="15" x14ac:dyDescent="0.25">
      <c r="B245" s="271"/>
      <c r="C245" s="270"/>
      <c r="D245" s="270"/>
      <c r="E245" s="10"/>
      <c r="F245" s="271"/>
      <c r="G245" s="11"/>
      <c r="H245" s="11"/>
      <c r="I245" s="271"/>
      <c r="J245" s="271"/>
      <c r="K245" s="271"/>
      <c r="L245" s="271"/>
      <c r="M245" s="10"/>
      <c r="N245" s="270"/>
    </row>
    <row r="246" spans="2:14" s="186" customFormat="1" ht="15" x14ac:dyDescent="0.25">
      <c r="B246" s="271"/>
      <c r="C246" s="270"/>
      <c r="D246" s="270"/>
      <c r="E246" s="10"/>
      <c r="F246" s="271"/>
      <c r="G246" s="11"/>
      <c r="H246" s="11"/>
      <c r="I246" s="271"/>
      <c r="J246" s="271"/>
      <c r="K246" s="271"/>
      <c r="L246" s="271"/>
      <c r="M246" s="10"/>
      <c r="N246" s="270"/>
    </row>
    <row r="247" spans="2:14" s="186" customFormat="1" ht="15" x14ac:dyDescent="0.25">
      <c r="B247" s="271"/>
      <c r="C247" s="270"/>
      <c r="D247" s="270"/>
      <c r="E247" s="10"/>
      <c r="F247" s="271"/>
      <c r="G247" s="11"/>
      <c r="H247" s="11"/>
      <c r="I247" s="271"/>
      <c r="J247" s="271"/>
      <c r="K247" s="271"/>
      <c r="L247" s="271"/>
      <c r="M247" s="10"/>
      <c r="N247" s="270"/>
    </row>
    <row r="248" spans="2:14" s="186" customFormat="1" ht="15" x14ac:dyDescent="0.25">
      <c r="B248" s="271"/>
      <c r="C248" s="270"/>
      <c r="D248" s="270"/>
      <c r="E248" s="10"/>
      <c r="F248" s="271"/>
      <c r="G248" s="11"/>
      <c r="H248" s="11"/>
      <c r="I248" s="271"/>
      <c r="J248" s="271"/>
      <c r="K248" s="271"/>
      <c r="L248" s="271"/>
      <c r="M248" s="10"/>
      <c r="N248" s="270"/>
    </row>
    <row r="249" spans="2:14" s="186" customFormat="1" ht="15" x14ac:dyDescent="0.25">
      <c r="B249" s="271"/>
      <c r="C249" s="270"/>
      <c r="D249" s="270"/>
      <c r="E249" s="10"/>
      <c r="F249" s="271"/>
      <c r="G249" s="11"/>
      <c r="H249" s="11"/>
      <c r="I249" s="271"/>
      <c r="J249" s="271"/>
      <c r="K249" s="271"/>
      <c r="L249" s="271"/>
      <c r="M249" s="10"/>
      <c r="N249" s="270"/>
    </row>
    <row r="250" spans="2:14" s="186" customFormat="1" ht="15" x14ac:dyDescent="0.25">
      <c r="B250" s="271"/>
      <c r="C250" s="270"/>
      <c r="D250" s="270"/>
      <c r="E250" s="10"/>
      <c r="F250" s="271"/>
      <c r="G250" s="11"/>
      <c r="H250" s="11"/>
      <c r="I250" s="271"/>
      <c r="J250" s="271"/>
      <c r="K250" s="271"/>
      <c r="L250" s="271"/>
      <c r="M250" s="10"/>
      <c r="N250" s="270"/>
    </row>
    <row r="251" spans="2:14" s="186" customFormat="1" ht="15" x14ac:dyDescent="0.25">
      <c r="B251" s="271"/>
      <c r="C251" s="270"/>
      <c r="D251" s="270"/>
      <c r="E251" s="10"/>
      <c r="F251" s="271"/>
      <c r="G251" s="11"/>
      <c r="H251" s="11"/>
      <c r="I251" s="271"/>
      <c r="J251" s="271"/>
      <c r="K251" s="271"/>
      <c r="L251" s="271"/>
      <c r="M251" s="10"/>
      <c r="N251" s="270"/>
    </row>
    <row r="252" spans="2:14" s="186" customFormat="1" ht="15" x14ac:dyDescent="0.25">
      <c r="B252" s="271"/>
      <c r="C252" s="270"/>
      <c r="D252" s="270"/>
      <c r="E252" s="10"/>
      <c r="F252" s="271"/>
      <c r="G252" s="11"/>
      <c r="H252" s="11"/>
      <c r="I252" s="271"/>
      <c r="J252" s="271"/>
      <c r="K252" s="271"/>
      <c r="L252" s="271"/>
      <c r="M252" s="10"/>
      <c r="N252" s="270"/>
    </row>
    <row r="253" spans="2:14" s="186" customFormat="1" ht="15" x14ac:dyDescent="0.25">
      <c r="B253" s="271"/>
      <c r="C253" s="270"/>
      <c r="D253" s="270"/>
      <c r="E253" s="10"/>
      <c r="F253" s="271"/>
      <c r="G253" s="11"/>
      <c r="H253" s="11"/>
      <c r="I253" s="271"/>
      <c r="J253" s="271"/>
      <c r="K253" s="271"/>
      <c r="L253" s="271"/>
      <c r="M253" s="10"/>
      <c r="N253" s="270"/>
    </row>
    <row r="254" spans="2:14" s="186" customFormat="1" ht="15" x14ac:dyDescent="0.25">
      <c r="B254" s="271"/>
      <c r="C254" s="270"/>
      <c r="D254" s="270"/>
      <c r="E254" s="10"/>
      <c r="F254" s="271"/>
      <c r="G254" s="11"/>
      <c r="H254" s="11"/>
      <c r="I254" s="271"/>
      <c r="J254" s="271"/>
      <c r="K254" s="271"/>
      <c r="L254" s="271"/>
      <c r="M254" s="10"/>
      <c r="N254" s="270"/>
    </row>
    <row r="255" spans="2:14" s="186" customFormat="1" ht="15" x14ac:dyDescent="0.25">
      <c r="B255" s="271"/>
      <c r="C255" s="270"/>
      <c r="D255" s="270"/>
      <c r="E255" s="10"/>
      <c r="F255" s="271"/>
      <c r="G255" s="11"/>
      <c r="H255" s="11"/>
      <c r="I255" s="271"/>
      <c r="J255" s="271"/>
      <c r="K255" s="271"/>
      <c r="L255" s="271"/>
      <c r="M255" s="10"/>
      <c r="N255" s="270"/>
    </row>
    <row r="256" spans="2:14" s="186" customFormat="1" ht="15" x14ac:dyDescent="0.25">
      <c r="B256" s="271"/>
      <c r="C256" s="270"/>
      <c r="D256" s="270"/>
      <c r="E256" s="10"/>
      <c r="F256" s="271"/>
      <c r="G256" s="11"/>
      <c r="H256" s="11"/>
      <c r="I256" s="271"/>
      <c r="J256" s="271"/>
      <c r="K256" s="271"/>
      <c r="L256" s="271"/>
      <c r="M256" s="10"/>
      <c r="N256" s="270"/>
    </row>
    <row r="257" spans="2:14" s="186" customFormat="1" ht="15" x14ac:dyDescent="0.25">
      <c r="B257" s="271"/>
      <c r="C257" s="270"/>
      <c r="D257" s="270"/>
      <c r="E257" s="10"/>
      <c r="F257" s="271"/>
      <c r="G257" s="11"/>
      <c r="H257" s="11"/>
      <c r="I257" s="271"/>
      <c r="J257" s="271"/>
      <c r="K257" s="271"/>
      <c r="L257" s="271"/>
      <c r="M257" s="10"/>
      <c r="N257" s="270"/>
    </row>
    <row r="258" spans="2:14" s="186" customFormat="1" ht="15" x14ac:dyDescent="0.25">
      <c r="B258" s="271"/>
      <c r="C258" s="270"/>
      <c r="D258" s="270"/>
      <c r="E258" s="10"/>
      <c r="F258" s="271"/>
      <c r="G258" s="11"/>
      <c r="H258" s="11"/>
      <c r="I258" s="271"/>
      <c r="J258" s="271"/>
      <c r="K258" s="271"/>
      <c r="L258" s="271"/>
      <c r="M258" s="10"/>
      <c r="N258" s="270"/>
    </row>
    <row r="259" spans="2:14" s="186" customFormat="1" ht="15" x14ac:dyDescent="0.25">
      <c r="B259" s="271"/>
      <c r="C259" s="270"/>
      <c r="D259" s="270"/>
      <c r="E259" s="10"/>
      <c r="F259" s="271"/>
      <c r="G259" s="11"/>
      <c r="H259" s="11"/>
      <c r="I259" s="271"/>
      <c r="J259" s="271"/>
      <c r="K259" s="271"/>
      <c r="L259" s="271"/>
      <c r="M259" s="10"/>
      <c r="N259" s="270"/>
    </row>
    <row r="260" spans="2:14" s="186" customFormat="1" ht="15" x14ac:dyDescent="0.25">
      <c r="B260" s="271"/>
      <c r="C260" s="270"/>
      <c r="D260" s="270"/>
      <c r="E260" s="10"/>
      <c r="F260" s="271"/>
      <c r="G260" s="11"/>
      <c r="H260" s="11"/>
      <c r="I260" s="271"/>
      <c r="J260" s="271"/>
      <c r="K260" s="271"/>
      <c r="L260" s="271"/>
      <c r="M260" s="10"/>
      <c r="N260" s="270"/>
    </row>
    <row r="261" spans="2:14" s="186" customFormat="1" ht="15" x14ac:dyDescent="0.25">
      <c r="B261" s="271"/>
      <c r="C261" s="270"/>
      <c r="D261" s="270"/>
      <c r="E261" s="10"/>
      <c r="F261" s="271"/>
      <c r="G261" s="11"/>
      <c r="H261" s="11"/>
      <c r="I261" s="271"/>
      <c r="J261" s="271"/>
      <c r="K261" s="271"/>
      <c r="L261" s="271"/>
      <c r="M261" s="10"/>
      <c r="N261" s="270"/>
    </row>
    <row r="262" spans="2:14" s="186" customFormat="1" ht="15" x14ac:dyDescent="0.25">
      <c r="B262" s="271"/>
      <c r="C262" s="270"/>
      <c r="D262" s="270"/>
      <c r="E262" s="10"/>
      <c r="F262" s="271"/>
      <c r="G262" s="11"/>
      <c r="H262" s="11"/>
      <c r="I262" s="271"/>
      <c r="J262" s="271"/>
      <c r="K262" s="271"/>
      <c r="L262" s="271"/>
      <c r="M262" s="10"/>
      <c r="N262" s="270"/>
    </row>
    <row r="263" spans="2:14" s="186" customFormat="1" ht="15" x14ac:dyDescent="0.25">
      <c r="B263" s="271"/>
      <c r="C263" s="270"/>
      <c r="D263" s="270"/>
      <c r="E263" s="10"/>
      <c r="F263" s="271"/>
      <c r="G263" s="11"/>
      <c r="H263" s="11"/>
      <c r="I263" s="271"/>
      <c r="J263" s="271"/>
      <c r="K263" s="271"/>
      <c r="L263" s="271"/>
      <c r="M263" s="10"/>
      <c r="N263" s="270"/>
    </row>
    <row r="264" spans="2:14" s="186" customFormat="1" ht="15" x14ac:dyDescent="0.25">
      <c r="B264" s="271"/>
      <c r="C264" s="270"/>
      <c r="D264" s="270"/>
      <c r="E264" s="10"/>
      <c r="F264" s="271"/>
      <c r="G264" s="11"/>
      <c r="H264" s="11"/>
      <c r="I264" s="271"/>
      <c r="J264" s="271"/>
      <c r="K264" s="271"/>
      <c r="L264" s="271"/>
      <c r="M264" s="10"/>
      <c r="N264" s="270"/>
    </row>
    <row r="265" spans="2:14" s="186" customFormat="1" ht="15" x14ac:dyDescent="0.25">
      <c r="B265" s="271"/>
      <c r="C265" s="270"/>
      <c r="D265" s="270"/>
      <c r="E265" s="10"/>
      <c r="F265" s="271"/>
      <c r="G265" s="11"/>
      <c r="H265" s="11"/>
      <c r="I265" s="271"/>
      <c r="J265" s="271"/>
      <c r="K265" s="271"/>
      <c r="L265" s="271"/>
      <c r="M265" s="10"/>
      <c r="N265" s="270"/>
    </row>
    <row r="266" spans="2:14" s="186" customFormat="1" ht="15" x14ac:dyDescent="0.25">
      <c r="B266" s="271"/>
      <c r="C266" s="270"/>
      <c r="D266" s="270"/>
      <c r="E266" s="10"/>
      <c r="F266" s="271"/>
      <c r="G266" s="11"/>
      <c r="H266" s="11"/>
      <c r="I266" s="271"/>
      <c r="J266" s="271"/>
      <c r="K266" s="271"/>
      <c r="L266" s="271"/>
      <c r="M266" s="10"/>
      <c r="N266" s="270"/>
    </row>
    <row r="267" spans="2:14" s="186" customFormat="1" ht="15" x14ac:dyDescent="0.25">
      <c r="B267" s="271"/>
      <c r="C267" s="270"/>
      <c r="D267" s="270"/>
      <c r="E267" s="10"/>
      <c r="F267" s="271"/>
      <c r="G267" s="11"/>
      <c r="H267" s="11"/>
      <c r="I267" s="271"/>
      <c r="J267" s="271"/>
      <c r="K267" s="271"/>
      <c r="L267" s="271"/>
      <c r="M267" s="10"/>
      <c r="N267" s="270"/>
    </row>
    <row r="268" spans="2:14" s="186" customFormat="1" ht="15" x14ac:dyDescent="0.25">
      <c r="B268" s="271"/>
      <c r="C268" s="270"/>
      <c r="D268" s="270"/>
      <c r="E268" s="10"/>
      <c r="F268" s="271"/>
      <c r="G268" s="11"/>
      <c r="H268" s="11"/>
      <c r="I268" s="271"/>
      <c r="J268" s="271"/>
      <c r="K268" s="271"/>
      <c r="L268" s="271"/>
      <c r="M268" s="10"/>
      <c r="N268" s="270"/>
    </row>
    <row r="269" spans="2:14" s="186" customFormat="1" ht="15" x14ac:dyDescent="0.25">
      <c r="B269" s="271"/>
      <c r="C269" s="270"/>
      <c r="D269" s="270"/>
      <c r="E269" s="10"/>
      <c r="F269" s="271"/>
      <c r="G269" s="11"/>
      <c r="H269" s="11"/>
      <c r="I269" s="271"/>
      <c r="J269" s="271"/>
      <c r="K269" s="271"/>
      <c r="L269" s="271"/>
      <c r="M269" s="10"/>
      <c r="N269" s="270"/>
    </row>
    <row r="270" spans="2:14" s="186" customFormat="1" ht="15" x14ac:dyDescent="0.25">
      <c r="B270" s="271"/>
      <c r="C270" s="270"/>
      <c r="D270" s="270"/>
      <c r="E270" s="10"/>
      <c r="F270" s="271"/>
      <c r="G270" s="11"/>
      <c r="H270" s="11"/>
      <c r="I270" s="271"/>
      <c r="J270" s="271"/>
      <c r="K270" s="271"/>
      <c r="L270" s="271"/>
      <c r="M270" s="10"/>
      <c r="N270" s="270"/>
    </row>
    <row r="271" spans="2:14" s="186" customFormat="1" ht="15" x14ac:dyDescent="0.25">
      <c r="B271" s="271"/>
      <c r="C271" s="270"/>
      <c r="D271" s="270"/>
      <c r="E271" s="10"/>
      <c r="F271" s="271"/>
      <c r="G271" s="11"/>
      <c r="H271" s="11"/>
      <c r="I271" s="271"/>
      <c r="J271" s="271"/>
      <c r="K271" s="271"/>
      <c r="L271" s="271"/>
      <c r="M271" s="10"/>
      <c r="N271" s="270"/>
    </row>
    <row r="272" spans="2:14" s="186" customFormat="1" ht="15" x14ac:dyDescent="0.25">
      <c r="B272" s="271"/>
      <c r="C272" s="270"/>
      <c r="D272" s="270"/>
      <c r="E272" s="10"/>
      <c r="F272" s="271"/>
      <c r="G272" s="11"/>
      <c r="H272" s="11"/>
      <c r="I272" s="271"/>
      <c r="J272" s="271"/>
      <c r="K272" s="271"/>
      <c r="L272" s="271"/>
      <c r="M272" s="10"/>
      <c r="N272" s="270"/>
    </row>
    <row r="273" spans="2:14" s="186" customFormat="1" ht="15" x14ac:dyDescent="0.25">
      <c r="B273" s="271"/>
      <c r="C273" s="270"/>
      <c r="D273" s="270"/>
      <c r="E273" s="10"/>
      <c r="F273" s="271"/>
      <c r="G273" s="11"/>
      <c r="H273" s="11"/>
      <c r="I273" s="271"/>
      <c r="J273" s="271"/>
      <c r="K273" s="271"/>
      <c r="L273" s="271"/>
      <c r="M273" s="10"/>
      <c r="N273" s="270"/>
    </row>
    <row r="274" spans="2:14" s="186" customFormat="1" ht="15" x14ac:dyDescent="0.25">
      <c r="B274" s="271"/>
      <c r="C274" s="270"/>
      <c r="D274" s="270"/>
      <c r="E274" s="10"/>
      <c r="F274" s="271"/>
      <c r="G274" s="11"/>
      <c r="H274" s="11"/>
      <c r="I274" s="271"/>
      <c r="J274" s="271"/>
      <c r="K274" s="271"/>
      <c r="L274" s="271"/>
      <c r="M274" s="10"/>
      <c r="N274" s="270"/>
    </row>
    <row r="275" spans="2:14" s="186" customFormat="1" ht="15" x14ac:dyDescent="0.25">
      <c r="B275" s="271"/>
      <c r="C275" s="270"/>
      <c r="D275" s="270"/>
      <c r="E275" s="10"/>
      <c r="F275" s="271"/>
      <c r="G275" s="11"/>
      <c r="H275" s="11"/>
      <c r="I275" s="271"/>
      <c r="J275" s="271"/>
      <c r="K275" s="271"/>
      <c r="L275" s="271"/>
      <c r="M275" s="10"/>
      <c r="N275" s="270"/>
    </row>
    <row r="276" spans="2:14" s="186" customFormat="1" ht="15" x14ac:dyDescent="0.25">
      <c r="B276" s="271"/>
      <c r="C276" s="270"/>
      <c r="D276" s="270"/>
      <c r="E276" s="10"/>
      <c r="F276" s="271"/>
      <c r="G276" s="11"/>
      <c r="H276" s="11"/>
      <c r="I276" s="271"/>
      <c r="J276" s="271"/>
      <c r="K276" s="271"/>
      <c r="L276" s="271"/>
      <c r="M276" s="10"/>
      <c r="N276" s="270"/>
    </row>
    <row r="277" spans="2:14" s="186" customFormat="1" ht="15" x14ac:dyDescent="0.25">
      <c r="B277" s="271"/>
      <c r="C277" s="270"/>
      <c r="D277" s="270"/>
      <c r="E277" s="10"/>
      <c r="F277" s="271"/>
      <c r="G277" s="11"/>
      <c r="H277" s="11"/>
      <c r="I277" s="271"/>
      <c r="J277" s="271"/>
      <c r="K277" s="271"/>
      <c r="L277" s="271"/>
      <c r="M277" s="10"/>
      <c r="N277" s="270"/>
    </row>
    <row r="278" spans="2:14" s="186" customFormat="1" ht="15" x14ac:dyDescent="0.25">
      <c r="B278" s="271"/>
      <c r="C278" s="270"/>
      <c r="D278" s="270"/>
      <c r="E278" s="10"/>
      <c r="F278" s="271"/>
      <c r="G278" s="11"/>
      <c r="H278" s="11"/>
      <c r="I278" s="271"/>
      <c r="J278" s="271"/>
      <c r="K278" s="271"/>
      <c r="L278" s="271"/>
      <c r="M278" s="10"/>
      <c r="N278" s="270"/>
    </row>
    <row r="279" spans="2:14" s="186" customFormat="1" ht="15" x14ac:dyDescent="0.25">
      <c r="B279" s="271"/>
      <c r="C279" s="270"/>
      <c r="D279" s="270"/>
      <c r="E279" s="10"/>
      <c r="F279" s="271"/>
      <c r="G279" s="11"/>
      <c r="H279" s="11"/>
      <c r="I279" s="271"/>
      <c r="J279" s="271"/>
      <c r="K279" s="271"/>
      <c r="L279" s="271"/>
      <c r="M279" s="10"/>
      <c r="N279" s="270"/>
    </row>
    <row r="280" spans="2:14" s="186" customFormat="1" ht="15" x14ac:dyDescent="0.25">
      <c r="B280" s="271"/>
      <c r="C280" s="270"/>
      <c r="D280" s="270"/>
      <c r="E280" s="10"/>
      <c r="F280" s="271"/>
      <c r="G280" s="11"/>
      <c r="H280" s="11"/>
      <c r="I280" s="271"/>
      <c r="J280" s="271"/>
      <c r="K280" s="271"/>
      <c r="L280" s="271"/>
      <c r="M280" s="10"/>
      <c r="N280" s="270"/>
    </row>
    <row r="281" spans="2:14" s="186" customFormat="1" ht="15" x14ac:dyDescent="0.25">
      <c r="B281" s="271"/>
      <c r="C281" s="270"/>
      <c r="D281" s="270"/>
      <c r="E281" s="10"/>
      <c r="F281" s="271"/>
      <c r="G281" s="11"/>
      <c r="H281" s="11"/>
      <c r="I281" s="271"/>
      <c r="J281" s="271"/>
      <c r="K281" s="271"/>
      <c r="L281" s="271"/>
      <c r="M281" s="10"/>
      <c r="N281" s="270"/>
    </row>
    <row r="282" spans="2:14" s="186" customFormat="1" ht="15" x14ac:dyDescent="0.25">
      <c r="B282" s="271"/>
      <c r="C282" s="270"/>
      <c r="D282" s="270"/>
      <c r="E282" s="10"/>
      <c r="F282" s="271"/>
      <c r="G282" s="11"/>
      <c r="H282" s="11"/>
      <c r="I282" s="271"/>
      <c r="J282" s="271"/>
      <c r="K282" s="271"/>
      <c r="L282" s="271"/>
      <c r="M282" s="10"/>
      <c r="N282" s="270"/>
    </row>
    <row r="283" spans="2:14" s="186" customFormat="1" ht="15" x14ac:dyDescent="0.25">
      <c r="B283" s="271"/>
      <c r="C283" s="270"/>
      <c r="D283" s="270"/>
      <c r="E283" s="10"/>
      <c r="F283" s="271"/>
      <c r="G283" s="11"/>
      <c r="H283" s="11"/>
      <c r="I283" s="271"/>
      <c r="J283" s="271"/>
      <c r="K283" s="271"/>
      <c r="L283" s="271"/>
      <c r="M283" s="10"/>
      <c r="N283" s="270"/>
    </row>
    <row r="284" spans="2:14" s="186" customFormat="1" ht="15" x14ac:dyDescent="0.25">
      <c r="B284" s="271"/>
      <c r="C284" s="270"/>
      <c r="D284" s="270"/>
      <c r="E284" s="10"/>
      <c r="F284" s="271"/>
      <c r="G284" s="11"/>
      <c r="H284" s="11"/>
      <c r="I284" s="271"/>
      <c r="J284" s="271"/>
      <c r="K284" s="271"/>
      <c r="L284" s="271"/>
      <c r="M284" s="10"/>
      <c r="N284" s="270"/>
    </row>
    <row r="285" spans="2:14" s="186" customFormat="1" ht="15" x14ac:dyDescent="0.25">
      <c r="B285" s="271"/>
      <c r="C285" s="270"/>
      <c r="D285" s="270"/>
      <c r="E285" s="10"/>
      <c r="F285" s="271"/>
      <c r="G285" s="11"/>
      <c r="H285" s="11"/>
      <c r="I285" s="271"/>
      <c r="J285" s="271"/>
      <c r="K285" s="271"/>
      <c r="L285" s="271"/>
      <c r="M285" s="10"/>
      <c r="N285" s="270"/>
    </row>
    <row r="286" spans="2:14" s="186" customFormat="1" ht="15" x14ac:dyDescent="0.25">
      <c r="B286" s="271"/>
      <c r="C286" s="270"/>
      <c r="D286" s="270"/>
      <c r="E286" s="10"/>
      <c r="F286" s="271"/>
      <c r="G286" s="11"/>
      <c r="H286" s="11"/>
      <c r="I286" s="271"/>
      <c r="J286" s="271"/>
      <c r="K286" s="271"/>
      <c r="L286" s="271"/>
      <c r="M286" s="10"/>
      <c r="N286" s="270"/>
    </row>
    <row r="287" spans="2:14" s="186" customFormat="1" ht="15" x14ac:dyDescent="0.25">
      <c r="B287" s="271"/>
      <c r="C287" s="270"/>
      <c r="D287" s="270"/>
      <c r="E287" s="10"/>
      <c r="F287" s="271"/>
      <c r="G287" s="11"/>
      <c r="H287" s="11"/>
      <c r="I287" s="271"/>
      <c r="J287" s="271"/>
      <c r="K287" s="271"/>
      <c r="L287" s="271"/>
      <c r="M287" s="10"/>
      <c r="N287" s="270"/>
    </row>
    <row r="288" spans="2:14" s="186" customFormat="1" ht="15" x14ac:dyDescent="0.25">
      <c r="B288" s="271"/>
      <c r="C288" s="270"/>
      <c r="D288" s="270"/>
      <c r="E288" s="10"/>
      <c r="F288" s="271"/>
      <c r="G288" s="11"/>
      <c r="H288" s="11"/>
      <c r="I288" s="271"/>
      <c r="J288" s="271"/>
      <c r="K288" s="271"/>
      <c r="L288" s="271"/>
      <c r="M288" s="10"/>
      <c r="N288" s="270"/>
    </row>
    <row r="289" spans="2:14" s="186" customFormat="1" ht="15" x14ac:dyDescent="0.25">
      <c r="B289" s="271"/>
      <c r="C289" s="270"/>
      <c r="D289" s="270"/>
      <c r="E289" s="10"/>
      <c r="F289" s="271"/>
      <c r="G289" s="11"/>
      <c r="H289" s="11"/>
      <c r="I289" s="271"/>
      <c r="J289" s="271"/>
      <c r="K289" s="271"/>
      <c r="L289" s="271"/>
      <c r="M289" s="10"/>
      <c r="N289" s="270"/>
    </row>
    <row r="290" spans="2:14" s="186" customFormat="1" ht="15" x14ac:dyDescent="0.25">
      <c r="B290" s="271"/>
      <c r="C290" s="270"/>
      <c r="D290" s="270"/>
      <c r="E290" s="10"/>
      <c r="F290" s="271"/>
      <c r="G290" s="11"/>
      <c r="H290" s="11"/>
      <c r="I290" s="271"/>
      <c r="J290" s="271"/>
      <c r="K290" s="271"/>
      <c r="L290" s="271"/>
      <c r="M290" s="10"/>
      <c r="N290" s="270"/>
    </row>
    <row r="291" spans="2:14" s="186" customFormat="1" ht="15" x14ac:dyDescent="0.25">
      <c r="B291" s="271"/>
      <c r="C291" s="270"/>
      <c r="D291" s="270"/>
      <c r="E291" s="10"/>
      <c r="F291" s="271"/>
      <c r="G291" s="11"/>
      <c r="H291" s="11"/>
      <c r="I291" s="271"/>
      <c r="J291" s="271"/>
      <c r="K291" s="271"/>
      <c r="L291" s="271"/>
      <c r="M291" s="10"/>
      <c r="N291" s="270"/>
    </row>
    <row r="292" spans="2:14" s="186" customFormat="1" ht="15" x14ac:dyDescent="0.25">
      <c r="B292" s="271"/>
      <c r="C292" s="270"/>
      <c r="D292" s="270"/>
      <c r="E292" s="10"/>
      <c r="F292" s="271"/>
      <c r="G292" s="11"/>
      <c r="H292" s="11"/>
      <c r="I292" s="271"/>
      <c r="J292" s="271"/>
      <c r="K292" s="271"/>
      <c r="L292" s="271"/>
      <c r="M292" s="10"/>
      <c r="N292" s="270"/>
    </row>
    <row r="293" spans="2:14" s="186" customFormat="1" ht="15" x14ac:dyDescent="0.25">
      <c r="B293" s="271"/>
      <c r="C293" s="270"/>
      <c r="D293" s="270"/>
      <c r="E293" s="10"/>
      <c r="F293" s="271"/>
      <c r="G293" s="11"/>
      <c r="H293" s="11"/>
      <c r="I293" s="271"/>
      <c r="J293" s="271"/>
      <c r="K293" s="271"/>
      <c r="L293" s="271"/>
      <c r="M293" s="10"/>
      <c r="N293" s="270"/>
    </row>
    <row r="294" spans="2:14" s="186" customFormat="1" ht="15" x14ac:dyDescent="0.25">
      <c r="B294" s="271"/>
      <c r="C294" s="270"/>
      <c r="D294" s="270"/>
      <c r="E294" s="10"/>
      <c r="F294" s="271"/>
      <c r="G294" s="11"/>
      <c r="H294" s="11"/>
      <c r="I294" s="271"/>
      <c r="J294" s="271"/>
      <c r="K294" s="271"/>
      <c r="L294" s="271"/>
      <c r="M294" s="10"/>
      <c r="N294" s="270"/>
    </row>
    <row r="295" spans="2:14" s="186" customFormat="1" ht="15" x14ac:dyDescent="0.25">
      <c r="B295" s="271"/>
      <c r="C295" s="270"/>
      <c r="D295" s="270"/>
      <c r="E295" s="10"/>
      <c r="F295" s="271"/>
      <c r="G295" s="11"/>
      <c r="H295" s="11"/>
      <c r="I295" s="271"/>
      <c r="J295" s="271"/>
      <c r="K295" s="271"/>
      <c r="L295" s="271"/>
      <c r="M295" s="10"/>
      <c r="N295" s="270"/>
    </row>
    <row r="296" spans="2:14" s="186" customFormat="1" ht="15" x14ac:dyDescent="0.25">
      <c r="B296" s="271"/>
      <c r="C296" s="270"/>
      <c r="D296" s="270"/>
      <c r="E296" s="10"/>
      <c r="F296" s="271"/>
      <c r="G296" s="11"/>
      <c r="H296" s="11"/>
      <c r="I296" s="271"/>
      <c r="J296" s="271"/>
      <c r="K296" s="271"/>
      <c r="L296" s="271"/>
      <c r="M296" s="10"/>
      <c r="N296" s="270"/>
    </row>
    <row r="297" spans="2:14" s="186" customFormat="1" ht="15" x14ac:dyDescent="0.25">
      <c r="B297" s="271"/>
      <c r="C297" s="270"/>
      <c r="D297" s="270"/>
      <c r="E297" s="10"/>
      <c r="F297" s="271"/>
      <c r="G297" s="11"/>
      <c r="H297" s="11"/>
      <c r="I297" s="271"/>
      <c r="J297" s="271"/>
      <c r="K297" s="271"/>
      <c r="L297" s="271"/>
      <c r="M297" s="10"/>
      <c r="N297" s="270"/>
    </row>
    <row r="298" spans="2:14" s="186" customFormat="1" ht="15" x14ac:dyDescent="0.25">
      <c r="B298" s="271"/>
      <c r="C298" s="270"/>
      <c r="D298" s="270"/>
      <c r="E298" s="10"/>
      <c r="F298" s="271"/>
      <c r="G298" s="11"/>
      <c r="H298" s="11"/>
      <c r="I298" s="271"/>
      <c r="J298" s="271"/>
      <c r="K298" s="271"/>
      <c r="L298" s="271"/>
      <c r="M298" s="10"/>
      <c r="N298" s="270"/>
    </row>
    <row r="299" spans="2:14" s="186" customFormat="1" ht="15" x14ac:dyDescent="0.25">
      <c r="B299" s="271"/>
      <c r="C299" s="270"/>
      <c r="D299" s="270"/>
      <c r="E299" s="10"/>
      <c r="F299" s="271"/>
      <c r="G299" s="11"/>
      <c r="H299" s="11"/>
      <c r="I299" s="271"/>
      <c r="J299" s="271"/>
      <c r="K299" s="271"/>
      <c r="L299" s="271"/>
      <c r="M299" s="10"/>
      <c r="N299" s="270"/>
    </row>
    <row r="300" spans="2:14" s="186" customFormat="1" ht="15" x14ac:dyDescent="0.25">
      <c r="B300" s="271"/>
      <c r="C300" s="270"/>
      <c r="D300" s="270"/>
      <c r="E300" s="10"/>
      <c r="F300" s="271"/>
      <c r="G300" s="11"/>
      <c r="H300" s="11"/>
      <c r="I300" s="271"/>
      <c r="J300" s="271"/>
      <c r="K300" s="271"/>
      <c r="L300" s="271"/>
      <c r="M300" s="10"/>
      <c r="N300" s="270"/>
    </row>
    <row r="301" spans="2:14" s="186" customFormat="1" ht="15" x14ac:dyDescent="0.25">
      <c r="B301" s="271"/>
      <c r="C301" s="270"/>
      <c r="D301" s="270"/>
      <c r="E301" s="10"/>
      <c r="F301" s="271"/>
      <c r="G301" s="11"/>
      <c r="H301" s="11"/>
      <c r="I301" s="271"/>
      <c r="J301" s="271"/>
      <c r="K301" s="271"/>
      <c r="L301" s="271"/>
      <c r="M301" s="10"/>
      <c r="N301" s="270"/>
    </row>
    <row r="302" spans="2:14" s="186" customFormat="1" ht="15" x14ac:dyDescent="0.25">
      <c r="B302" s="271"/>
      <c r="C302" s="270"/>
      <c r="D302" s="270"/>
      <c r="E302" s="10"/>
      <c r="F302" s="271"/>
      <c r="G302" s="11"/>
      <c r="H302" s="11"/>
      <c r="I302" s="271"/>
      <c r="J302" s="271"/>
      <c r="K302" s="271"/>
      <c r="L302" s="271"/>
      <c r="M302" s="10"/>
      <c r="N302" s="270"/>
    </row>
    <row r="303" spans="2:14" s="186" customFormat="1" ht="15" x14ac:dyDescent="0.25">
      <c r="B303" s="271"/>
      <c r="C303" s="270"/>
      <c r="D303" s="270"/>
      <c r="E303" s="10"/>
      <c r="F303" s="271"/>
      <c r="G303" s="11"/>
      <c r="H303" s="11"/>
      <c r="I303" s="271"/>
      <c r="J303" s="271"/>
      <c r="K303" s="271"/>
      <c r="L303" s="271"/>
      <c r="M303" s="10"/>
      <c r="N303" s="270"/>
    </row>
    <row r="304" spans="2:14" s="186" customFormat="1" ht="15" x14ac:dyDescent="0.25">
      <c r="B304" s="271"/>
      <c r="C304" s="270"/>
      <c r="D304" s="270"/>
      <c r="E304" s="10"/>
      <c r="F304" s="271"/>
      <c r="G304" s="11"/>
      <c r="H304" s="11"/>
      <c r="I304" s="271"/>
      <c r="J304" s="271"/>
      <c r="K304" s="271"/>
      <c r="L304" s="271"/>
      <c r="M304" s="10"/>
      <c r="N304" s="270"/>
    </row>
    <row r="305" spans="2:14" s="186" customFormat="1" ht="15" x14ac:dyDescent="0.25">
      <c r="B305" s="271"/>
      <c r="C305" s="270"/>
      <c r="D305" s="270"/>
      <c r="E305" s="10"/>
      <c r="F305" s="271"/>
      <c r="G305" s="11"/>
      <c r="H305" s="11"/>
      <c r="I305" s="271"/>
      <c r="J305" s="271"/>
      <c r="K305" s="271"/>
      <c r="L305" s="271"/>
      <c r="M305" s="10"/>
      <c r="N305" s="270"/>
    </row>
    <row r="306" spans="2:14" s="186" customFormat="1" ht="15" x14ac:dyDescent="0.25">
      <c r="B306" s="271"/>
      <c r="C306" s="270"/>
      <c r="D306" s="270"/>
      <c r="E306" s="10"/>
      <c r="F306" s="271"/>
      <c r="G306" s="11"/>
      <c r="H306" s="11"/>
      <c r="I306" s="271"/>
      <c r="J306" s="271"/>
      <c r="K306" s="271"/>
      <c r="L306" s="271"/>
      <c r="M306" s="10"/>
      <c r="N306" s="270"/>
    </row>
    <row r="307" spans="2:14" s="186" customFormat="1" ht="15" x14ac:dyDescent="0.25">
      <c r="B307" s="271"/>
      <c r="C307" s="270"/>
      <c r="D307" s="270"/>
      <c r="E307" s="10"/>
      <c r="F307" s="271"/>
      <c r="G307" s="11"/>
      <c r="H307" s="11"/>
      <c r="I307" s="271"/>
      <c r="J307" s="271"/>
      <c r="K307" s="271"/>
      <c r="L307" s="271"/>
      <c r="M307" s="10"/>
      <c r="N307" s="270"/>
    </row>
    <row r="308" spans="2:14" s="186" customFormat="1" ht="15" x14ac:dyDescent="0.25">
      <c r="B308" s="271"/>
      <c r="C308" s="270"/>
      <c r="D308" s="270"/>
      <c r="E308" s="10"/>
      <c r="F308" s="271"/>
      <c r="G308" s="11"/>
      <c r="H308" s="11"/>
      <c r="I308" s="271"/>
      <c r="J308" s="271"/>
      <c r="K308" s="271"/>
      <c r="L308" s="271"/>
      <c r="M308" s="10"/>
      <c r="N308" s="270"/>
    </row>
    <row r="309" spans="2:14" s="186" customFormat="1" ht="15" x14ac:dyDescent="0.25">
      <c r="B309" s="271"/>
      <c r="C309" s="270"/>
      <c r="D309" s="270"/>
      <c r="E309" s="10"/>
      <c r="F309" s="271"/>
      <c r="G309" s="11"/>
      <c r="H309" s="11"/>
      <c r="I309" s="271"/>
      <c r="J309" s="271"/>
      <c r="K309" s="271"/>
      <c r="L309" s="271"/>
      <c r="M309" s="10"/>
      <c r="N309" s="270"/>
    </row>
    <row r="310" spans="2:14" s="186" customFormat="1" ht="15" x14ac:dyDescent="0.25">
      <c r="B310" s="271"/>
      <c r="C310" s="270"/>
      <c r="D310" s="270"/>
      <c r="E310" s="10"/>
      <c r="F310" s="271"/>
      <c r="G310" s="11"/>
      <c r="H310" s="11"/>
      <c r="I310" s="271"/>
      <c r="J310" s="271"/>
      <c r="K310" s="271"/>
      <c r="L310" s="271"/>
      <c r="M310" s="10"/>
      <c r="N310" s="270"/>
    </row>
    <row r="311" spans="2:14" s="186" customFormat="1" ht="15" x14ac:dyDescent="0.25">
      <c r="B311" s="271"/>
      <c r="C311" s="270"/>
      <c r="D311" s="270"/>
      <c r="E311" s="10"/>
      <c r="F311" s="271"/>
      <c r="G311" s="11"/>
      <c r="H311" s="11"/>
      <c r="I311" s="271"/>
      <c r="J311" s="271"/>
      <c r="K311" s="271"/>
      <c r="L311" s="271"/>
      <c r="M311" s="10"/>
      <c r="N311" s="270"/>
    </row>
    <row r="312" spans="2:14" s="186" customFormat="1" ht="15" x14ac:dyDescent="0.25">
      <c r="B312" s="271"/>
      <c r="C312" s="270"/>
      <c r="D312" s="270"/>
      <c r="E312" s="10"/>
      <c r="F312" s="271"/>
      <c r="G312" s="11"/>
      <c r="H312" s="11"/>
      <c r="I312" s="271"/>
      <c r="J312" s="271"/>
      <c r="K312" s="271"/>
      <c r="L312" s="271"/>
      <c r="M312" s="10"/>
      <c r="N312" s="270"/>
    </row>
    <row r="313" spans="2:14" s="186" customFormat="1" ht="15" x14ac:dyDescent="0.25">
      <c r="B313" s="271"/>
      <c r="C313" s="270"/>
      <c r="D313" s="270"/>
      <c r="E313" s="10"/>
      <c r="F313" s="271"/>
      <c r="G313" s="11"/>
      <c r="H313" s="11"/>
      <c r="I313" s="271"/>
      <c r="J313" s="271"/>
      <c r="K313" s="271"/>
      <c r="L313" s="271"/>
      <c r="M313" s="10"/>
      <c r="N313" s="270"/>
    </row>
    <row r="314" spans="2:14" s="186" customFormat="1" ht="15" x14ac:dyDescent="0.25">
      <c r="B314" s="271"/>
      <c r="C314" s="270"/>
      <c r="D314" s="270"/>
      <c r="E314" s="10"/>
      <c r="F314" s="271"/>
      <c r="G314" s="11"/>
      <c r="H314" s="11"/>
      <c r="I314" s="271"/>
      <c r="J314" s="271"/>
      <c r="K314" s="271"/>
      <c r="L314" s="271"/>
      <c r="M314" s="10"/>
      <c r="N314" s="270"/>
    </row>
    <row r="315" spans="2:14" s="186" customFormat="1" ht="15" x14ac:dyDescent="0.25">
      <c r="B315" s="271"/>
      <c r="C315" s="270"/>
      <c r="D315" s="270"/>
      <c r="E315" s="10"/>
      <c r="F315" s="271"/>
      <c r="G315" s="11"/>
      <c r="H315" s="11"/>
      <c r="I315" s="271"/>
      <c r="J315" s="271"/>
      <c r="K315" s="271"/>
      <c r="L315" s="271"/>
      <c r="M315" s="10"/>
      <c r="N315" s="270"/>
    </row>
    <row r="316" spans="2:14" s="186" customFormat="1" ht="15" x14ac:dyDescent="0.25">
      <c r="B316" s="271"/>
      <c r="C316" s="270"/>
      <c r="D316" s="270"/>
      <c r="E316" s="10"/>
      <c r="F316" s="271"/>
      <c r="G316" s="11"/>
      <c r="H316" s="11"/>
      <c r="I316" s="271"/>
      <c r="J316" s="271"/>
      <c r="K316" s="271"/>
      <c r="L316" s="271"/>
      <c r="M316" s="10"/>
      <c r="N316" s="270"/>
    </row>
    <row r="317" spans="2:14" s="186" customFormat="1" ht="15" x14ac:dyDescent="0.25">
      <c r="B317" s="271"/>
      <c r="C317" s="270"/>
      <c r="D317" s="270"/>
      <c r="E317" s="10"/>
      <c r="F317" s="271"/>
      <c r="G317" s="11"/>
      <c r="H317" s="11"/>
      <c r="I317" s="271"/>
      <c r="J317" s="271"/>
      <c r="K317" s="271"/>
      <c r="L317" s="271"/>
      <c r="M317" s="10"/>
      <c r="N317" s="270"/>
    </row>
    <row r="318" spans="2:14" s="186" customFormat="1" ht="15" x14ac:dyDescent="0.25">
      <c r="B318" s="271"/>
      <c r="C318" s="270"/>
      <c r="D318" s="270"/>
      <c r="E318" s="10"/>
      <c r="F318" s="271"/>
      <c r="G318" s="11"/>
      <c r="H318" s="11"/>
      <c r="I318" s="271"/>
      <c r="J318" s="271"/>
      <c r="K318" s="271"/>
      <c r="L318" s="271"/>
      <c r="M318" s="10"/>
      <c r="N318" s="270"/>
    </row>
    <row r="319" spans="2:14" s="186" customFormat="1" ht="15" x14ac:dyDescent="0.25">
      <c r="B319" s="271"/>
      <c r="C319" s="270"/>
      <c r="D319" s="270"/>
      <c r="E319" s="10"/>
      <c r="F319" s="271"/>
      <c r="G319" s="11"/>
      <c r="H319" s="11"/>
      <c r="I319" s="271"/>
      <c r="J319" s="271"/>
      <c r="K319" s="271"/>
      <c r="L319" s="271"/>
      <c r="M319" s="10"/>
      <c r="N319" s="270"/>
    </row>
    <row r="320" spans="2:14" s="186" customFormat="1" ht="15" x14ac:dyDescent="0.25">
      <c r="B320" s="271"/>
      <c r="C320" s="270"/>
      <c r="D320" s="270"/>
      <c r="E320" s="10"/>
      <c r="F320" s="271"/>
      <c r="G320" s="11"/>
      <c r="H320" s="11"/>
      <c r="I320" s="271"/>
      <c r="J320" s="271"/>
      <c r="K320" s="271"/>
      <c r="L320" s="271"/>
      <c r="M320" s="10"/>
      <c r="N320" s="270"/>
    </row>
    <row r="321" spans="2:14" s="186" customFormat="1" ht="15" x14ac:dyDescent="0.25">
      <c r="B321" s="271"/>
      <c r="C321" s="270"/>
      <c r="D321" s="270"/>
      <c r="E321" s="10"/>
      <c r="F321" s="271"/>
      <c r="G321" s="11"/>
      <c r="H321" s="11"/>
      <c r="I321" s="271"/>
      <c r="J321" s="271"/>
      <c r="K321" s="271"/>
      <c r="L321" s="271"/>
      <c r="M321" s="10"/>
      <c r="N321" s="270"/>
    </row>
    <row r="322" spans="2:14" s="186" customFormat="1" ht="15" x14ac:dyDescent="0.25">
      <c r="B322" s="271"/>
      <c r="C322" s="270"/>
      <c r="D322" s="270"/>
      <c r="E322" s="10"/>
      <c r="F322" s="271"/>
      <c r="G322" s="11"/>
      <c r="H322" s="11"/>
      <c r="I322" s="271"/>
      <c r="J322" s="271"/>
      <c r="K322" s="271"/>
      <c r="L322" s="271"/>
      <c r="M322" s="10"/>
      <c r="N322" s="270"/>
    </row>
    <row r="323" spans="2:14" s="186" customFormat="1" ht="15" x14ac:dyDescent="0.25">
      <c r="B323" s="271"/>
      <c r="C323" s="270"/>
      <c r="D323" s="270"/>
      <c r="E323" s="10"/>
      <c r="F323" s="271"/>
      <c r="G323" s="11"/>
      <c r="H323" s="11"/>
      <c r="I323" s="271"/>
      <c r="J323" s="271"/>
      <c r="K323" s="271"/>
      <c r="L323" s="271"/>
      <c r="M323" s="10"/>
      <c r="N323" s="270"/>
    </row>
    <row r="324" spans="2:14" s="186" customFormat="1" ht="15" x14ac:dyDescent="0.25">
      <c r="B324" s="271"/>
      <c r="C324" s="270"/>
      <c r="D324" s="270"/>
      <c r="E324" s="10"/>
      <c r="F324" s="271"/>
      <c r="G324" s="11"/>
      <c r="H324" s="11"/>
      <c r="I324" s="271"/>
      <c r="J324" s="271"/>
      <c r="K324" s="271"/>
      <c r="L324" s="271"/>
      <c r="M324" s="10"/>
      <c r="N324" s="270"/>
    </row>
    <row r="325" spans="2:14" s="186" customFormat="1" ht="15" x14ac:dyDescent="0.25">
      <c r="B325" s="271"/>
      <c r="C325" s="270"/>
      <c r="D325" s="270"/>
      <c r="E325" s="10"/>
      <c r="F325" s="271"/>
      <c r="G325" s="11"/>
      <c r="H325" s="11"/>
      <c r="I325" s="271"/>
      <c r="J325" s="271"/>
      <c r="K325" s="271"/>
      <c r="L325" s="271"/>
      <c r="M325" s="10"/>
      <c r="N325" s="270"/>
    </row>
    <row r="326" spans="2:14" s="186" customFormat="1" ht="15" x14ac:dyDescent="0.25">
      <c r="B326" s="271"/>
      <c r="C326" s="270"/>
      <c r="D326" s="270"/>
      <c r="E326" s="10"/>
      <c r="F326" s="271"/>
      <c r="G326" s="11"/>
      <c r="H326" s="11"/>
      <c r="I326" s="271"/>
      <c r="J326" s="271"/>
      <c r="K326" s="271"/>
      <c r="L326" s="271"/>
      <c r="M326" s="10"/>
      <c r="N326" s="270"/>
    </row>
    <row r="327" spans="2:14" s="186" customFormat="1" ht="15" x14ac:dyDescent="0.25">
      <c r="B327" s="271"/>
      <c r="C327" s="270"/>
      <c r="D327" s="270"/>
      <c r="E327" s="10"/>
      <c r="F327" s="271"/>
      <c r="G327" s="11"/>
      <c r="H327" s="11"/>
      <c r="I327" s="271"/>
      <c r="J327" s="271"/>
      <c r="K327" s="271"/>
      <c r="L327" s="271"/>
      <c r="M327" s="10"/>
      <c r="N327" s="270"/>
    </row>
    <row r="328" spans="2:14" s="186" customFormat="1" ht="15" x14ac:dyDescent="0.25">
      <c r="B328" s="271"/>
      <c r="C328" s="270"/>
      <c r="D328" s="270"/>
      <c r="E328" s="10"/>
      <c r="F328" s="271"/>
      <c r="G328" s="11"/>
      <c r="H328" s="11"/>
      <c r="I328" s="271"/>
      <c r="J328" s="271"/>
      <c r="K328" s="271"/>
      <c r="L328" s="271"/>
      <c r="M328" s="10"/>
      <c r="N328" s="270"/>
    </row>
    <row r="329" spans="2:14" s="186" customFormat="1" ht="15" x14ac:dyDescent="0.25">
      <c r="B329" s="271"/>
      <c r="C329" s="270"/>
      <c r="D329" s="270"/>
      <c r="E329" s="10"/>
      <c r="F329" s="271"/>
      <c r="G329" s="11"/>
      <c r="H329" s="11"/>
      <c r="I329" s="271"/>
      <c r="J329" s="271"/>
      <c r="K329" s="271"/>
      <c r="L329" s="271"/>
      <c r="M329" s="10"/>
      <c r="N329" s="270"/>
    </row>
    <row r="330" spans="2:14" s="186" customFormat="1" ht="15" x14ac:dyDescent="0.25">
      <c r="B330" s="271"/>
      <c r="C330" s="270"/>
      <c r="D330" s="270"/>
      <c r="E330" s="10"/>
      <c r="F330" s="271"/>
      <c r="G330" s="11"/>
      <c r="H330" s="11"/>
      <c r="I330" s="271"/>
      <c r="J330" s="271"/>
      <c r="K330" s="271"/>
      <c r="L330" s="271"/>
      <c r="M330" s="10"/>
      <c r="N330" s="270"/>
    </row>
    <row r="331" spans="2:14" s="186" customFormat="1" ht="15" x14ac:dyDescent="0.25">
      <c r="B331" s="271"/>
      <c r="C331" s="270"/>
      <c r="D331" s="270"/>
      <c r="E331" s="10"/>
      <c r="F331" s="271"/>
      <c r="G331" s="11"/>
      <c r="H331" s="11"/>
      <c r="I331" s="271"/>
      <c r="J331" s="271"/>
      <c r="K331" s="271"/>
      <c r="L331" s="271"/>
      <c r="M331" s="10"/>
      <c r="N331" s="270"/>
    </row>
    <row r="332" spans="2:14" s="186" customFormat="1" ht="15" x14ac:dyDescent="0.25">
      <c r="B332" s="271"/>
      <c r="C332" s="270"/>
      <c r="D332" s="270"/>
      <c r="E332" s="10"/>
      <c r="F332" s="271"/>
      <c r="G332" s="11"/>
      <c r="H332" s="11"/>
      <c r="I332" s="271"/>
      <c r="J332" s="271"/>
      <c r="K332" s="271"/>
      <c r="L332" s="271"/>
      <c r="M332" s="10"/>
      <c r="N332" s="270"/>
    </row>
    <row r="333" spans="2:14" s="186" customFormat="1" ht="15" x14ac:dyDescent="0.25">
      <c r="B333" s="271"/>
      <c r="C333" s="270"/>
      <c r="D333" s="270"/>
      <c r="E333" s="10"/>
      <c r="F333" s="271"/>
      <c r="G333" s="11"/>
      <c r="H333" s="11"/>
      <c r="I333" s="271"/>
      <c r="J333" s="271"/>
      <c r="K333" s="271"/>
      <c r="L333" s="271"/>
      <c r="M333" s="10"/>
      <c r="N333" s="270"/>
    </row>
    <row r="334" spans="2:14" s="186" customFormat="1" ht="15" x14ac:dyDescent="0.25">
      <c r="B334" s="271"/>
      <c r="C334" s="270"/>
      <c r="D334" s="270"/>
      <c r="E334" s="10"/>
      <c r="F334" s="271"/>
      <c r="G334" s="11"/>
      <c r="H334" s="11"/>
      <c r="I334" s="271"/>
      <c r="J334" s="271"/>
      <c r="K334" s="271"/>
      <c r="L334" s="271"/>
      <c r="M334" s="10"/>
      <c r="N334" s="270"/>
    </row>
    <row r="335" spans="2:14" s="186" customFormat="1" ht="15" x14ac:dyDescent="0.25">
      <c r="B335" s="271"/>
      <c r="C335" s="270"/>
      <c r="D335" s="270"/>
      <c r="E335" s="10"/>
      <c r="F335" s="271"/>
      <c r="G335" s="11"/>
      <c r="H335" s="11"/>
      <c r="I335" s="271"/>
      <c r="J335" s="271"/>
      <c r="K335" s="271"/>
      <c r="L335" s="271"/>
      <c r="M335" s="10"/>
      <c r="N335" s="270"/>
    </row>
    <row r="336" spans="2:14" s="186" customFormat="1" ht="15" x14ac:dyDescent="0.25">
      <c r="B336" s="271"/>
      <c r="C336" s="270"/>
      <c r="D336" s="270"/>
      <c r="E336" s="10"/>
      <c r="F336" s="271"/>
      <c r="G336" s="11"/>
      <c r="H336" s="11"/>
      <c r="I336" s="271"/>
      <c r="J336" s="271"/>
      <c r="K336" s="271"/>
      <c r="L336" s="271"/>
      <c r="M336" s="10"/>
      <c r="N336" s="270"/>
    </row>
    <row r="337" spans="2:14" s="186" customFormat="1" ht="15" x14ac:dyDescent="0.25">
      <c r="B337" s="271"/>
      <c r="C337" s="270"/>
      <c r="D337" s="270"/>
      <c r="E337" s="10"/>
      <c r="F337" s="271"/>
      <c r="G337" s="11"/>
      <c r="H337" s="11"/>
      <c r="I337" s="271"/>
      <c r="J337" s="271"/>
      <c r="K337" s="271"/>
      <c r="L337" s="271"/>
      <c r="M337" s="10"/>
      <c r="N337" s="270"/>
    </row>
    <row r="338" spans="2:14" s="186" customFormat="1" ht="15" x14ac:dyDescent="0.25">
      <c r="B338" s="271"/>
      <c r="C338" s="270"/>
      <c r="D338" s="270"/>
      <c r="E338" s="10"/>
      <c r="F338" s="271"/>
      <c r="G338" s="11"/>
      <c r="H338" s="11"/>
      <c r="I338" s="271"/>
      <c r="J338" s="271"/>
      <c r="K338" s="271"/>
      <c r="L338" s="271"/>
      <c r="M338" s="10"/>
      <c r="N338" s="270"/>
    </row>
    <row r="339" spans="2:14" s="186" customFormat="1" ht="15" x14ac:dyDescent="0.25">
      <c r="B339" s="271"/>
      <c r="C339" s="270"/>
      <c r="D339" s="270"/>
      <c r="E339" s="10"/>
      <c r="F339" s="271"/>
      <c r="G339" s="11"/>
      <c r="H339" s="11"/>
      <c r="I339" s="271"/>
      <c r="J339" s="271"/>
      <c r="K339" s="271"/>
      <c r="L339" s="271"/>
      <c r="M339" s="10"/>
      <c r="N339" s="270"/>
    </row>
    <row r="340" spans="2:14" s="186" customFormat="1" ht="15" x14ac:dyDescent="0.25">
      <c r="B340" s="271"/>
      <c r="C340" s="270"/>
      <c r="D340" s="270"/>
      <c r="E340" s="10"/>
      <c r="F340" s="271"/>
      <c r="G340" s="11"/>
      <c r="H340" s="11"/>
      <c r="I340" s="271"/>
      <c r="J340" s="271"/>
      <c r="K340" s="271"/>
      <c r="L340" s="271"/>
      <c r="M340" s="10"/>
      <c r="N340" s="270"/>
    </row>
    <row r="341" spans="2:14" s="186" customFormat="1" ht="15" x14ac:dyDescent="0.25">
      <c r="B341" s="271"/>
      <c r="C341" s="270"/>
      <c r="D341" s="270"/>
      <c r="E341" s="10"/>
      <c r="F341" s="271"/>
      <c r="G341" s="11"/>
      <c r="H341" s="11"/>
      <c r="I341" s="271"/>
      <c r="J341" s="271"/>
      <c r="K341" s="271"/>
      <c r="L341" s="271"/>
      <c r="M341" s="10"/>
      <c r="N341" s="270"/>
    </row>
    <row r="342" spans="2:14" s="186" customFormat="1" ht="15" x14ac:dyDescent="0.25">
      <c r="B342" s="271"/>
      <c r="C342" s="270"/>
      <c r="D342" s="270"/>
      <c r="E342" s="10"/>
      <c r="F342" s="271"/>
      <c r="G342" s="11"/>
      <c r="H342" s="11"/>
      <c r="I342" s="271"/>
      <c r="J342" s="271"/>
      <c r="K342" s="271"/>
      <c r="L342" s="271"/>
      <c r="M342" s="10"/>
      <c r="N342" s="270"/>
    </row>
    <row r="343" spans="2:14" s="185" customFormat="1" x14ac:dyDescent="0.3">
      <c r="B343" s="271"/>
      <c r="C343" s="270"/>
      <c r="D343" s="270"/>
      <c r="E343" s="10"/>
      <c r="F343" s="271"/>
      <c r="G343" s="11"/>
      <c r="H343" s="11"/>
      <c r="I343" s="271"/>
      <c r="J343" s="271"/>
      <c r="K343" s="271"/>
      <c r="L343" s="271"/>
      <c r="M343"/>
      <c r="N343" s="1"/>
    </row>
    <row r="344" spans="2:14" s="185" customFormat="1" x14ac:dyDescent="0.3">
      <c r="B344" s="1"/>
      <c r="C344" s="1"/>
      <c r="D344" s="1"/>
      <c r="E344" s="1"/>
      <c r="F344" s="1"/>
      <c r="G344" s="1"/>
      <c r="H344" s="1"/>
      <c r="I344" s="1"/>
      <c r="J344" s="1"/>
      <c r="K344" s="1"/>
      <c r="L344" s="1"/>
      <c r="M344"/>
      <c r="N344" s="1"/>
    </row>
    <row r="345" spans="2:14" s="185" customFormat="1" x14ac:dyDescent="0.3">
      <c r="B345" s="1"/>
      <c r="C345" s="1"/>
      <c r="D345" s="1"/>
      <c r="E345" s="1"/>
      <c r="F345" s="1"/>
      <c r="G345" s="1"/>
      <c r="H345" s="1"/>
      <c r="I345" s="1"/>
      <c r="J345" s="1"/>
      <c r="K345" s="1"/>
      <c r="L345" s="1"/>
      <c r="M345"/>
      <c r="N345" s="1"/>
    </row>
    <row r="346" spans="2:14" s="185" customFormat="1" x14ac:dyDescent="0.3">
      <c r="B346" s="1"/>
      <c r="C346" s="1"/>
      <c r="D346" s="1"/>
      <c r="E346" s="1"/>
      <c r="F346" s="1"/>
      <c r="G346" s="1"/>
      <c r="H346" s="1"/>
      <c r="I346" s="1"/>
      <c r="J346" s="1"/>
      <c r="K346" s="1"/>
      <c r="L346" s="1"/>
      <c r="M346"/>
      <c r="N346" s="1"/>
    </row>
    <row r="347" spans="2:14" s="185" customFormat="1" x14ac:dyDescent="0.3">
      <c r="B347" s="1"/>
      <c r="C347" s="1"/>
      <c r="D347" s="1"/>
      <c r="E347" s="1"/>
      <c r="F347" s="1"/>
      <c r="G347" s="1"/>
      <c r="H347" s="1"/>
      <c r="I347" s="1"/>
      <c r="J347" s="1"/>
      <c r="K347" s="1"/>
      <c r="L347" s="1"/>
      <c r="M347"/>
      <c r="N347" s="1"/>
    </row>
    <row r="348" spans="2:14" s="185" customFormat="1" x14ac:dyDescent="0.3">
      <c r="B348" s="1"/>
      <c r="C348" s="1"/>
      <c r="D348" s="1"/>
      <c r="E348" s="1"/>
      <c r="F348" s="1"/>
      <c r="G348" s="1"/>
      <c r="H348" s="1"/>
      <c r="I348" s="1"/>
      <c r="J348" s="1"/>
      <c r="K348" s="1"/>
      <c r="L348" s="1"/>
      <c r="M348"/>
      <c r="N348" s="1"/>
    </row>
    <row r="349" spans="2:14" s="185" customFormat="1" x14ac:dyDescent="0.3">
      <c r="B349" s="1"/>
      <c r="C349" s="1"/>
      <c r="D349" s="1"/>
      <c r="E349" s="1"/>
      <c r="F349" s="1"/>
      <c r="G349" s="1"/>
      <c r="H349" s="1"/>
      <c r="I349" s="1"/>
      <c r="J349" s="1"/>
      <c r="K349" s="1"/>
      <c r="L349" s="1"/>
      <c r="M349"/>
      <c r="N349" s="1"/>
    </row>
    <row r="350" spans="2:14" s="185" customFormat="1" x14ac:dyDescent="0.3">
      <c r="B350" s="1"/>
      <c r="C350" s="1"/>
      <c r="D350" s="1"/>
      <c r="E350" s="1"/>
      <c r="F350" s="1"/>
      <c r="G350" s="1"/>
      <c r="H350" s="1"/>
      <c r="I350" s="1"/>
      <c r="J350" s="1"/>
      <c r="K350" s="1"/>
      <c r="L350" s="1"/>
      <c r="M350"/>
      <c r="N350" s="1"/>
    </row>
    <row r="351" spans="2:14" s="185" customFormat="1" x14ac:dyDescent="0.3">
      <c r="B351" s="1"/>
      <c r="C351" s="1"/>
      <c r="D351" s="1"/>
      <c r="E351" s="1"/>
      <c r="F351" s="1"/>
      <c r="G351" s="1"/>
      <c r="H351" s="1"/>
      <c r="I351" s="1"/>
      <c r="J351" s="1"/>
      <c r="K351" s="1"/>
      <c r="L351" s="1"/>
      <c r="M351"/>
      <c r="N351" s="1"/>
    </row>
    <row r="352" spans="2:14" s="185" customFormat="1" x14ac:dyDescent="0.3">
      <c r="B352" s="1"/>
      <c r="C352" s="1"/>
      <c r="D352" s="1"/>
      <c r="E352" s="1"/>
      <c r="F352" s="1"/>
      <c r="G352" s="1"/>
      <c r="H352" s="1"/>
      <c r="I352" s="1"/>
      <c r="J352" s="1"/>
      <c r="K352" s="1"/>
      <c r="L352" s="1"/>
      <c r="M352"/>
      <c r="N352" s="1"/>
    </row>
    <row r="353" spans="13:13" s="185" customFormat="1" x14ac:dyDescent="0.3">
      <c r="M353"/>
    </row>
    <row r="354" spans="13:13" s="185" customFormat="1" x14ac:dyDescent="0.3">
      <c r="M354"/>
    </row>
    <row r="355" spans="13:13" s="185" customFormat="1" x14ac:dyDescent="0.3">
      <c r="M355"/>
    </row>
    <row r="356" spans="13:13" s="185" customFormat="1" x14ac:dyDescent="0.3">
      <c r="M356"/>
    </row>
    <row r="357" spans="13:13" s="185" customFormat="1" x14ac:dyDescent="0.3">
      <c r="M357"/>
    </row>
    <row r="358" spans="13:13" s="185" customFormat="1" x14ac:dyDescent="0.3">
      <c r="M358"/>
    </row>
    <row r="359" spans="13:13" s="185" customFormat="1" x14ac:dyDescent="0.3">
      <c r="M359"/>
    </row>
    <row r="360" spans="13:13" s="185" customFormat="1" x14ac:dyDescent="0.3">
      <c r="M360"/>
    </row>
    <row r="361" spans="13:13" s="185" customFormat="1" x14ac:dyDescent="0.3">
      <c r="M361"/>
    </row>
    <row r="362" spans="13:13" s="185" customFormat="1" x14ac:dyDescent="0.3">
      <c r="M362"/>
    </row>
    <row r="363" spans="13:13" s="185" customFormat="1" x14ac:dyDescent="0.3">
      <c r="M363"/>
    </row>
    <row r="364" spans="13:13" s="185" customFormat="1" x14ac:dyDescent="0.3">
      <c r="M364"/>
    </row>
    <row r="365" spans="13:13" s="185" customFormat="1" x14ac:dyDescent="0.3">
      <c r="M365"/>
    </row>
    <row r="366" spans="13:13" s="185" customFormat="1" x14ac:dyDescent="0.3">
      <c r="M366"/>
    </row>
    <row r="367" spans="13:13" s="185" customFormat="1" x14ac:dyDescent="0.3">
      <c r="M367"/>
    </row>
    <row r="368" spans="13:13" s="185" customFormat="1" x14ac:dyDescent="0.3">
      <c r="M368"/>
    </row>
    <row r="369" spans="13:13" s="185" customFormat="1" x14ac:dyDescent="0.3">
      <c r="M369"/>
    </row>
    <row r="370" spans="13:13" s="185" customFormat="1" x14ac:dyDescent="0.3">
      <c r="M370"/>
    </row>
    <row r="371" spans="13:13" s="185" customFormat="1" x14ac:dyDescent="0.3">
      <c r="M371"/>
    </row>
    <row r="372" spans="13:13" s="185" customFormat="1" x14ac:dyDescent="0.3">
      <c r="M372"/>
    </row>
    <row r="373" spans="13:13" s="185" customFormat="1" x14ac:dyDescent="0.3">
      <c r="M373"/>
    </row>
    <row r="374" spans="13:13" s="185" customFormat="1" x14ac:dyDescent="0.3">
      <c r="M374"/>
    </row>
    <row r="375" spans="13:13" s="185" customFormat="1" x14ac:dyDescent="0.3">
      <c r="M375"/>
    </row>
    <row r="376" spans="13:13" s="185" customFormat="1" x14ac:dyDescent="0.3">
      <c r="M376"/>
    </row>
    <row r="377" spans="13:13" s="185" customFormat="1" x14ac:dyDescent="0.3">
      <c r="M377"/>
    </row>
    <row r="378" spans="13:13" s="185" customFormat="1" x14ac:dyDescent="0.3">
      <c r="M378"/>
    </row>
    <row r="379" spans="13:13" s="185" customFormat="1" x14ac:dyDescent="0.3">
      <c r="M379"/>
    </row>
    <row r="380" spans="13:13" s="185" customFormat="1" x14ac:dyDescent="0.3">
      <c r="M380"/>
    </row>
    <row r="381" spans="13:13" s="185" customFormat="1" x14ac:dyDescent="0.3">
      <c r="M381"/>
    </row>
    <row r="382" spans="13:13" s="185" customFormat="1" x14ac:dyDescent="0.3">
      <c r="M382"/>
    </row>
    <row r="383" spans="13:13" s="185" customFormat="1" x14ac:dyDescent="0.3">
      <c r="M383"/>
    </row>
    <row r="384" spans="13:13" s="185" customFormat="1" x14ac:dyDescent="0.3">
      <c r="M384"/>
    </row>
    <row r="385" spans="13:13" s="185" customFormat="1" x14ac:dyDescent="0.3">
      <c r="M385"/>
    </row>
    <row r="386" spans="13:13" s="185" customFormat="1" x14ac:dyDescent="0.3">
      <c r="M386"/>
    </row>
    <row r="387" spans="13:13" s="185" customFormat="1" x14ac:dyDescent="0.3">
      <c r="M387"/>
    </row>
    <row r="388" spans="13:13" s="185" customFormat="1" x14ac:dyDescent="0.3">
      <c r="M388"/>
    </row>
    <row r="389" spans="13:13" s="185" customFormat="1" x14ac:dyDescent="0.3">
      <c r="M389"/>
    </row>
    <row r="390" spans="13:13" s="185" customFormat="1" x14ac:dyDescent="0.3">
      <c r="M390"/>
    </row>
    <row r="391" spans="13:13" s="185" customFormat="1" x14ac:dyDescent="0.3">
      <c r="M391"/>
    </row>
    <row r="392" spans="13:13" s="185" customFormat="1" x14ac:dyDescent="0.3">
      <c r="M392"/>
    </row>
    <row r="393" spans="13:13" s="185" customFormat="1" x14ac:dyDescent="0.3">
      <c r="M393"/>
    </row>
    <row r="394" spans="13:13" s="185" customFormat="1" x14ac:dyDescent="0.3">
      <c r="M394"/>
    </row>
    <row r="395" spans="13:13" s="185" customFormat="1" x14ac:dyDescent="0.3">
      <c r="M395"/>
    </row>
    <row r="396" spans="13:13" s="185" customFormat="1" x14ac:dyDescent="0.3">
      <c r="M396"/>
    </row>
    <row r="397" spans="13:13" s="185" customFormat="1" x14ac:dyDescent="0.3">
      <c r="M397"/>
    </row>
    <row r="398" spans="13:13" s="185" customFormat="1" x14ac:dyDescent="0.3">
      <c r="M398"/>
    </row>
    <row r="399" spans="13:13" s="185" customFormat="1" x14ac:dyDescent="0.3">
      <c r="M399"/>
    </row>
    <row r="400" spans="13:13" s="185" customFormat="1" x14ac:dyDescent="0.3">
      <c r="M400"/>
    </row>
    <row r="401" spans="13:13" s="185" customFormat="1" x14ac:dyDescent="0.3">
      <c r="M401"/>
    </row>
    <row r="402" spans="13:13" s="185" customFormat="1" x14ac:dyDescent="0.3">
      <c r="M402"/>
    </row>
    <row r="403" spans="13:13" s="185" customFormat="1" x14ac:dyDescent="0.3">
      <c r="M403"/>
    </row>
    <row r="404" spans="13:13" s="185" customFormat="1" x14ac:dyDescent="0.3">
      <c r="M404"/>
    </row>
    <row r="405" spans="13:13" s="185" customFormat="1" x14ac:dyDescent="0.3">
      <c r="M405"/>
    </row>
    <row r="406" spans="13:13" s="185" customFormat="1" x14ac:dyDescent="0.3">
      <c r="M406"/>
    </row>
    <row r="407" spans="13:13" s="185" customFormat="1" x14ac:dyDescent="0.3">
      <c r="M407"/>
    </row>
    <row r="408" spans="13:13" s="185" customFormat="1" x14ac:dyDescent="0.3">
      <c r="M408"/>
    </row>
    <row r="409" spans="13:13" s="185" customFormat="1" x14ac:dyDescent="0.3">
      <c r="M409"/>
    </row>
    <row r="410" spans="13:13" s="185" customFormat="1" x14ac:dyDescent="0.3">
      <c r="M410"/>
    </row>
    <row r="411" spans="13:13" s="185" customFormat="1" x14ac:dyDescent="0.3">
      <c r="M411"/>
    </row>
    <row r="412" spans="13:13" s="185" customFormat="1" x14ac:dyDescent="0.3">
      <c r="M412"/>
    </row>
    <row r="413" spans="13:13" s="185" customFormat="1" x14ac:dyDescent="0.3">
      <c r="M413"/>
    </row>
    <row r="414" spans="13:13" s="185" customFormat="1" x14ac:dyDescent="0.3">
      <c r="M414"/>
    </row>
    <row r="415" spans="13:13" s="185" customFormat="1" x14ac:dyDescent="0.3">
      <c r="M415"/>
    </row>
    <row r="416" spans="13:13" s="185" customFormat="1" x14ac:dyDescent="0.3">
      <c r="M416"/>
    </row>
    <row r="417" spans="13:13" s="185" customFormat="1" x14ac:dyDescent="0.3">
      <c r="M417"/>
    </row>
    <row r="418" spans="13:13" s="185" customFormat="1" x14ac:dyDescent="0.3">
      <c r="M418"/>
    </row>
    <row r="419" spans="13:13" s="185" customFormat="1" x14ac:dyDescent="0.3">
      <c r="M419"/>
    </row>
    <row r="420" spans="13:13" s="185" customFormat="1" x14ac:dyDescent="0.3">
      <c r="M420"/>
    </row>
    <row r="421" spans="13:13" s="185" customFormat="1" x14ac:dyDescent="0.3">
      <c r="M421"/>
    </row>
    <row r="422" spans="13:13" s="185" customFormat="1" x14ac:dyDescent="0.3">
      <c r="M422"/>
    </row>
    <row r="423" spans="13:13" s="185" customFormat="1" x14ac:dyDescent="0.3">
      <c r="M423"/>
    </row>
    <row r="424" spans="13:13" s="185" customFormat="1" x14ac:dyDescent="0.3">
      <c r="M424"/>
    </row>
    <row r="425" spans="13:13" s="185" customFormat="1" x14ac:dyDescent="0.3">
      <c r="M425"/>
    </row>
    <row r="426" spans="13:13" s="185" customFormat="1" x14ac:dyDescent="0.3">
      <c r="M426"/>
    </row>
    <row r="427" spans="13:13" s="185" customFormat="1" x14ac:dyDescent="0.3">
      <c r="M427"/>
    </row>
    <row r="428" spans="13:13" s="185" customFormat="1" x14ac:dyDescent="0.3">
      <c r="M428"/>
    </row>
    <row r="429" spans="13:13" s="185" customFormat="1" x14ac:dyDescent="0.3">
      <c r="M429"/>
    </row>
    <row r="430" spans="13:13" s="185" customFormat="1" x14ac:dyDescent="0.3">
      <c r="M430"/>
    </row>
    <row r="431" spans="13:13" s="185" customFormat="1" x14ac:dyDescent="0.3">
      <c r="M431"/>
    </row>
    <row r="432" spans="13:13" s="185" customFormat="1" x14ac:dyDescent="0.3">
      <c r="M432"/>
    </row>
    <row r="433" spans="13:13" s="185" customFormat="1" x14ac:dyDescent="0.3">
      <c r="M433"/>
    </row>
    <row r="434" spans="13:13" s="185" customFormat="1" x14ac:dyDescent="0.3">
      <c r="M434"/>
    </row>
    <row r="435" spans="13:13" s="185" customFormat="1" x14ac:dyDescent="0.3">
      <c r="M435"/>
    </row>
    <row r="436" spans="13:13" s="185" customFormat="1" x14ac:dyDescent="0.3">
      <c r="M436"/>
    </row>
    <row r="437" spans="13:13" s="185" customFormat="1" x14ac:dyDescent="0.3">
      <c r="M437"/>
    </row>
    <row r="438" spans="13:13" s="185" customFormat="1" x14ac:dyDescent="0.3">
      <c r="M438"/>
    </row>
    <row r="439" spans="13:13" s="185" customFormat="1" x14ac:dyDescent="0.3">
      <c r="M439"/>
    </row>
    <row r="440" spans="13:13" s="185" customFormat="1" x14ac:dyDescent="0.3">
      <c r="M440"/>
    </row>
    <row r="441" spans="13:13" s="185" customFormat="1" x14ac:dyDescent="0.3">
      <c r="M441"/>
    </row>
    <row r="442" spans="13:13" s="185" customFormat="1" x14ac:dyDescent="0.3">
      <c r="M442"/>
    </row>
    <row r="443" spans="13:13" s="185" customFormat="1" x14ac:dyDescent="0.3">
      <c r="M443"/>
    </row>
    <row r="444" spans="13:13" s="185" customFormat="1" x14ac:dyDescent="0.3">
      <c r="M444"/>
    </row>
    <row r="445" spans="13:13" s="185" customFormat="1" x14ac:dyDescent="0.3">
      <c r="M445"/>
    </row>
    <row r="446" spans="13:13" s="185" customFormat="1" x14ac:dyDescent="0.3">
      <c r="M446"/>
    </row>
    <row r="447" spans="13:13" s="185" customFormat="1" x14ac:dyDescent="0.3">
      <c r="M447"/>
    </row>
    <row r="448" spans="13:13" s="185" customFormat="1" x14ac:dyDescent="0.3">
      <c r="M448"/>
    </row>
    <row r="449" spans="13:13" s="185" customFormat="1" x14ac:dyDescent="0.3">
      <c r="M449"/>
    </row>
    <row r="450" spans="13:13" s="185" customFormat="1" x14ac:dyDescent="0.3">
      <c r="M450"/>
    </row>
    <row r="451" spans="13:13" s="185" customFormat="1" x14ac:dyDescent="0.3">
      <c r="M451"/>
    </row>
    <row r="452" spans="13:13" s="185" customFormat="1" x14ac:dyDescent="0.3">
      <c r="M452"/>
    </row>
    <row r="453" spans="13:13" s="185" customFormat="1" x14ac:dyDescent="0.3">
      <c r="M453"/>
    </row>
    <row r="454" spans="13:13" s="185" customFormat="1" x14ac:dyDescent="0.3">
      <c r="M454"/>
    </row>
    <row r="455" spans="13:13" s="185" customFormat="1" x14ac:dyDescent="0.3">
      <c r="M455"/>
    </row>
    <row r="456" spans="13:13" s="185" customFormat="1" x14ac:dyDescent="0.3">
      <c r="M456"/>
    </row>
    <row r="457" spans="13:13" s="185" customFormat="1" x14ac:dyDescent="0.3">
      <c r="M457"/>
    </row>
    <row r="458" spans="13:13" s="185" customFormat="1" x14ac:dyDescent="0.3">
      <c r="M458"/>
    </row>
    <row r="459" spans="13:13" s="185" customFormat="1" x14ac:dyDescent="0.3">
      <c r="M459"/>
    </row>
    <row r="460" spans="13:13" s="185" customFormat="1" x14ac:dyDescent="0.3">
      <c r="M460"/>
    </row>
    <row r="461" spans="13:13" s="185" customFormat="1" x14ac:dyDescent="0.3">
      <c r="M461"/>
    </row>
    <row r="462" spans="13:13" s="185" customFormat="1" x14ac:dyDescent="0.3">
      <c r="M462"/>
    </row>
    <row r="463" spans="13:13" s="185" customFormat="1" x14ac:dyDescent="0.3">
      <c r="M463"/>
    </row>
    <row r="464" spans="13:13" s="185" customFormat="1" x14ac:dyDescent="0.3">
      <c r="M464"/>
    </row>
    <row r="465" spans="13:13" s="185" customFormat="1" x14ac:dyDescent="0.3">
      <c r="M465"/>
    </row>
    <row r="466" spans="13:13" s="185" customFormat="1" x14ac:dyDescent="0.3">
      <c r="M466"/>
    </row>
    <row r="467" spans="13:13" s="185" customFormat="1" x14ac:dyDescent="0.3">
      <c r="M467"/>
    </row>
    <row r="468" spans="13:13" s="185" customFormat="1" x14ac:dyDescent="0.3">
      <c r="M468"/>
    </row>
    <row r="469" spans="13:13" s="185" customFormat="1" x14ac:dyDescent="0.3">
      <c r="M469"/>
    </row>
    <row r="470" spans="13:13" s="185" customFormat="1" x14ac:dyDescent="0.3">
      <c r="M470"/>
    </row>
    <row r="471" spans="13:13" s="185" customFormat="1" x14ac:dyDescent="0.3">
      <c r="M471"/>
    </row>
    <row r="472" spans="13:13" s="185" customFormat="1" x14ac:dyDescent="0.3">
      <c r="M472"/>
    </row>
    <row r="473" spans="13:13" s="185" customFormat="1" x14ac:dyDescent="0.3">
      <c r="M473"/>
    </row>
    <row r="474" spans="13:13" s="185" customFormat="1" x14ac:dyDescent="0.3">
      <c r="M474"/>
    </row>
    <row r="475" spans="13:13" s="185" customFormat="1" x14ac:dyDescent="0.3">
      <c r="M475"/>
    </row>
    <row r="476" spans="13:13" s="185" customFormat="1" x14ac:dyDescent="0.3">
      <c r="M476"/>
    </row>
    <row r="477" spans="13:13" s="185" customFormat="1" x14ac:dyDescent="0.3">
      <c r="M477"/>
    </row>
    <row r="478" spans="13:13" s="185" customFormat="1" x14ac:dyDescent="0.3">
      <c r="M478"/>
    </row>
    <row r="479" spans="13:13" s="185" customFormat="1" x14ac:dyDescent="0.3">
      <c r="M479"/>
    </row>
    <row r="480" spans="13:13" s="185" customFormat="1" x14ac:dyDescent="0.3">
      <c r="M480"/>
    </row>
    <row r="481" spans="13:13" s="185" customFormat="1" x14ac:dyDescent="0.3">
      <c r="M481"/>
    </row>
    <row r="482" spans="13:13" s="185" customFormat="1" x14ac:dyDescent="0.3">
      <c r="M482"/>
    </row>
    <row r="483" spans="13:13" s="185" customFormat="1" x14ac:dyDescent="0.3">
      <c r="M483"/>
    </row>
    <row r="484" spans="13:13" s="185" customFormat="1" x14ac:dyDescent="0.3">
      <c r="M484"/>
    </row>
    <row r="485" spans="13:13" s="185" customFormat="1" x14ac:dyDescent="0.3">
      <c r="M485"/>
    </row>
    <row r="486" spans="13:13" s="185" customFormat="1" x14ac:dyDescent="0.3">
      <c r="M486"/>
    </row>
    <row r="487" spans="13:13" s="185" customFormat="1" x14ac:dyDescent="0.3">
      <c r="M487"/>
    </row>
    <row r="488" spans="13:13" s="185" customFormat="1" x14ac:dyDescent="0.3">
      <c r="M488"/>
    </row>
    <row r="489" spans="13:13" s="185" customFormat="1" x14ac:dyDescent="0.3">
      <c r="M489"/>
    </row>
    <row r="490" spans="13:13" s="185" customFormat="1" x14ac:dyDescent="0.3">
      <c r="M490"/>
    </row>
    <row r="491" spans="13:13" s="185" customFormat="1" x14ac:dyDescent="0.3">
      <c r="M491"/>
    </row>
    <row r="492" spans="13:13" s="185" customFormat="1" x14ac:dyDescent="0.3">
      <c r="M492"/>
    </row>
    <row r="493" spans="13:13" s="185" customFormat="1" x14ac:dyDescent="0.3">
      <c r="M493"/>
    </row>
    <row r="494" spans="13:13" s="185" customFormat="1" x14ac:dyDescent="0.3">
      <c r="M494"/>
    </row>
    <row r="495" spans="13:13" s="185" customFormat="1" x14ac:dyDescent="0.3">
      <c r="M495"/>
    </row>
    <row r="496" spans="13:13" s="185" customFormat="1" x14ac:dyDescent="0.3">
      <c r="M496"/>
    </row>
    <row r="497" spans="13:13" s="185" customFormat="1" x14ac:dyDescent="0.3">
      <c r="M497"/>
    </row>
    <row r="498" spans="13:13" s="185" customFormat="1" x14ac:dyDescent="0.3">
      <c r="M498"/>
    </row>
    <row r="499" spans="13:13" s="185" customFormat="1" x14ac:dyDescent="0.3">
      <c r="M499"/>
    </row>
    <row r="500" spans="13:13" s="185" customFormat="1" x14ac:dyDescent="0.3">
      <c r="M500"/>
    </row>
    <row r="501" spans="13:13" s="185" customFormat="1" x14ac:dyDescent="0.3">
      <c r="M501"/>
    </row>
    <row r="502" spans="13:13" s="185" customFormat="1" x14ac:dyDescent="0.3">
      <c r="M502"/>
    </row>
    <row r="503" spans="13:13" s="185" customFormat="1" x14ac:dyDescent="0.3">
      <c r="M503"/>
    </row>
    <row r="504" spans="13:13" s="185" customFormat="1" x14ac:dyDescent="0.3">
      <c r="M504"/>
    </row>
    <row r="505" spans="13:13" s="185" customFormat="1" x14ac:dyDescent="0.3">
      <c r="M505"/>
    </row>
    <row r="506" spans="13:13" s="185" customFormat="1" x14ac:dyDescent="0.3">
      <c r="M506"/>
    </row>
    <row r="507" spans="13:13" s="185" customFormat="1" x14ac:dyDescent="0.3">
      <c r="M507"/>
    </row>
    <row r="508" spans="13:13" s="185" customFormat="1" x14ac:dyDescent="0.3">
      <c r="M508"/>
    </row>
    <row r="509" spans="13:13" s="185" customFormat="1" x14ac:dyDescent="0.3">
      <c r="M509"/>
    </row>
    <row r="510" spans="13:13" s="185" customFormat="1" x14ac:dyDescent="0.3">
      <c r="M510"/>
    </row>
    <row r="511" spans="13:13" s="185" customFormat="1" x14ac:dyDescent="0.3">
      <c r="M511"/>
    </row>
    <row r="512" spans="13:13" s="185" customFormat="1" x14ac:dyDescent="0.3">
      <c r="M512"/>
    </row>
    <row r="513" spans="13:13" s="185" customFormat="1" x14ac:dyDescent="0.3">
      <c r="M513"/>
    </row>
    <row r="514" spans="13:13" s="185" customFormat="1" x14ac:dyDescent="0.3">
      <c r="M514"/>
    </row>
    <row r="515" spans="13:13" s="185" customFormat="1" x14ac:dyDescent="0.3">
      <c r="M515"/>
    </row>
    <row r="516" spans="13:13" s="185" customFormat="1" x14ac:dyDescent="0.3">
      <c r="M516"/>
    </row>
    <row r="517" spans="13:13" s="185" customFormat="1" x14ac:dyDescent="0.3">
      <c r="M517"/>
    </row>
    <row r="518" spans="13:13" s="185" customFormat="1" x14ac:dyDescent="0.3">
      <c r="M518"/>
    </row>
    <row r="519" spans="13:13" s="185" customFormat="1" x14ac:dyDescent="0.3">
      <c r="M519"/>
    </row>
    <row r="520" spans="13:13" s="185" customFormat="1" x14ac:dyDescent="0.3">
      <c r="M520"/>
    </row>
    <row r="521" spans="13:13" s="185" customFormat="1" x14ac:dyDescent="0.3">
      <c r="M521"/>
    </row>
    <row r="522" spans="13:13" s="185" customFormat="1" x14ac:dyDescent="0.3">
      <c r="M522"/>
    </row>
    <row r="523" spans="13:13" s="185" customFormat="1" x14ac:dyDescent="0.3">
      <c r="M523"/>
    </row>
    <row r="524" spans="13:13" s="185" customFormat="1" x14ac:dyDescent="0.3">
      <c r="M524"/>
    </row>
    <row r="525" spans="13:13" s="185" customFormat="1" x14ac:dyDescent="0.3">
      <c r="M525"/>
    </row>
    <row r="526" spans="13:13" s="185" customFormat="1" x14ac:dyDescent="0.3">
      <c r="M526"/>
    </row>
    <row r="527" spans="13:13" s="185" customFormat="1" x14ac:dyDescent="0.3">
      <c r="M527"/>
    </row>
    <row r="528" spans="13:13" s="185" customFormat="1" x14ac:dyDescent="0.3">
      <c r="M528"/>
    </row>
    <row r="529" spans="13:13" s="185" customFormat="1" x14ac:dyDescent="0.3">
      <c r="M529"/>
    </row>
    <row r="530" spans="13:13" s="185" customFormat="1" x14ac:dyDescent="0.3">
      <c r="M530"/>
    </row>
    <row r="531" spans="13:13" s="185" customFormat="1" x14ac:dyDescent="0.3">
      <c r="M531"/>
    </row>
    <row r="532" spans="13:13" s="185" customFormat="1" x14ac:dyDescent="0.3">
      <c r="M532"/>
    </row>
    <row r="533" spans="13:13" s="185" customFormat="1" x14ac:dyDescent="0.3">
      <c r="M533"/>
    </row>
    <row r="534" spans="13:13" s="185" customFormat="1" x14ac:dyDescent="0.3">
      <c r="M534"/>
    </row>
    <row r="535" spans="13:13" s="185" customFormat="1" x14ac:dyDescent="0.3">
      <c r="M535"/>
    </row>
    <row r="536" spans="13:13" s="185" customFormat="1" x14ac:dyDescent="0.3">
      <c r="M536"/>
    </row>
    <row r="537" spans="13:13" s="185" customFormat="1" x14ac:dyDescent="0.3">
      <c r="M537"/>
    </row>
    <row r="538" spans="13:13" s="185" customFormat="1" x14ac:dyDescent="0.3">
      <c r="M538"/>
    </row>
    <row r="539" spans="13:13" s="185" customFormat="1" x14ac:dyDescent="0.3">
      <c r="M539"/>
    </row>
    <row r="540" spans="13:13" s="185" customFormat="1" x14ac:dyDescent="0.3">
      <c r="M540"/>
    </row>
    <row r="541" spans="13:13" s="185" customFormat="1" x14ac:dyDescent="0.3">
      <c r="M541"/>
    </row>
    <row r="542" spans="13:13" s="185" customFormat="1" x14ac:dyDescent="0.3">
      <c r="M542"/>
    </row>
    <row r="543" spans="13:13" s="185" customFormat="1" x14ac:dyDescent="0.3">
      <c r="M543"/>
    </row>
    <row r="544" spans="13:13" s="185" customFormat="1" x14ac:dyDescent="0.3">
      <c r="M544"/>
    </row>
    <row r="545" spans="13:13" s="185" customFormat="1" x14ac:dyDescent="0.3">
      <c r="M545"/>
    </row>
    <row r="546" spans="13:13" s="185" customFormat="1" x14ac:dyDescent="0.3">
      <c r="M546"/>
    </row>
    <row r="547" spans="13:13" s="185" customFormat="1" x14ac:dyDescent="0.3">
      <c r="M547"/>
    </row>
    <row r="548" spans="13:13" s="185" customFormat="1" x14ac:dyDescent="0.3">
      <c r="M548"/>
    </row>
    <row r="549" spans="13:13" s="185" customFormat="1" x14ac:dyDescent="0.3">
      <c r="M549"/>
    </row>
    <row r="550" spans="13:13" s="185" customFormat="1" x14ac:dyDescent="0.3">
      <c r="M550"/>
    </row>
    <row r="551" spans="13:13" s="185" customFormat="1" x14ac:dyDescent="0.3">
      <c r="M551"/>
    </row>
    <row r="552" spans="13:13" s="185" customFormat="1" x14ac:dyDescent="0.3">
      <c r="M552"/>
    </row>
    <row r="553" spans="13:13" s="185" customFormat="1" x14ac:dyDescent="0.3">
      <c r="M553"/>
    </row>
    <row r="554" spans="13:13" s="185" customFormat="1" x14ac:dyDescent="0.3">
      <c r="M554"/>
    </row>
    <row r="555" spans="13:13" s="185" customFormat="1" x14ac:dyDescent="0.3">
      <c r="M555"/>
    </row>
    <row r="556" spans="13:13" s="185" customFormat="1" x14ac:dyDescent="0.3">
      <c r="M556"/>
    </row>
    <row r="557" spans="13:13" s="185" customFormat="1" x14ac:dyDescent="0.3">
      <c r="M557"/>
    </row>
    <row r="558" spans="13:13" s="185" customFormat="1" x14ac:dyDescent="0.3">
      <c r="M558"/>
    </row>
    <row r="559" spans="13:13" s="185" customFormat="1" x14ac:dyDescent="0.3">
      <c r="M559"/>
    </row>
    <row r="560" spans="13:13" s="185" customFormat="1" x14ac:dyDescent="0.3">
      <c r="M560"/>
    </row>
    <row r="561" spans="13:13" s="185" customFormat="1" x14ac:dyDescent="0.3">
      <c r="M561"/>
    </row>
    <row r="562" spans="13:13" s="185" customFormat="1" x14ac:dyDescent="0.3">
      <c r="M562"/>
    </row>
    <row r="563" spans="13:13" s="185" customFormat="1" x14ac:dyDescent="0.3">
      <c r="M563"/>
    </row>
    <row r="564" spans="13:13" s="185" customFormat="1" x14ac:dyDescent="0.3">
      <c r="M564"/>
    </row>
    <row r="565" spans="13:13" s="185" customFormat="1" x14ac:dyDescent="0.3">
      <c r="M565"/>
    </row>
    <row r="566" spans="13:13" s="185" customFormat="1" x14ac:dyDescent="0.3">
      <c r="M566"/>
    </row>
    <row r="567" spans="13:13" s="185" customFormat="1" x14ac:dyDescent="0.3">
      <c r="M567"/>
    </row>
    <row r="568" spans="13:13" s="185" customFormat="1" x14ac:dyDescent="0.3">
      <c r="M568"/>
    </row>
    <row r="569" spans="13:13" s="185" customFormat="1" x14ac:dyDescent="0.3">
      <c r="M569"/>
    </row>
    <row r="570" spans="13:13" s="185" customFormat="1" x14ac:dyDescent="0.3">
      <c r="M570"/>
    </row>
    <row r="571" spans="13:13" s="185" customFormat="1" x14ac:dyDescent="0.3">
      <c r="M571"/>
    </row>
    <row r="572" spans="13:13" s="185" customFormat="1" x14ac:dyDescent="0.3">
      <c r="M572"/>
    </row>
    <row r="573" spans="13:13" s="185" customFormat="1" x14ac:dyDescent="0.3">
      <c r="M573"/>
    </row>
    <row r="574" spans="13:13" s="185" customFormat="1" x14ac:dyDescent="0.3">
      <c r="M574"/>
    </row>
    <row r="575" spans="13:13" s="185" customFormat="1" x14ac:dyDescent="0.3">
      <c r="M575"/>
    </row>
    <row r="576" spans="13:13" s="185" customFormat="1" x14ac:dyDescent="0.3">
      <c r="M576"/>
    </row>
    <row r="577" spans="13:13" s="185" customFormat="1" x14ac:dyDescent="0.3">
      <c r="M577"/>
    </row>
    <row r="578" spans="13:13" s="185" customFormat="1" x14ac:dyDescent="0.3">
      <c r="M578"/>
    </row>
    <row r="579" spans="13:13" s="185" customFormat="1" x14ac:dyDescent="0.3">
      <c r="M579"/>
    </row>
    <row r="580" spans="13:13" s="185" customFormat="1" x14ac:dyDescent="0.3">
      <c r="M580"/>
    </row>
    <row r="581" spans="13:13" s="185" customFormat="1" x14ac:dyDescent="0.3">
      <c r="M581"/>
    </row>
    <row r="582" spans="13:13" s="185" customFormat="1" x14ac:dyDescent="0.3">
      <c r="M582"/>
    </row>
    <row r="583" spans="13:13" s="185" customFormat="1" x14ac:dyDescent="0.3">
      <c r="M583"/>
    </row>
    <row r="584" spans="13:13" s="185" customFormat="1" x14ac:dyDescent="0.3">
      <c r="M584"/>
    </row>
    <row r="585" spans="13:13" s="185" customFormat="1" x14ac:dyDescent="0.3">
      <c r="M585"/>
    </row>
    <row r="586" spans="13:13" s="185" customFormat="1" x14ac:dyDescent="0.3">
      <c r="M586"/>
    </row>
    <row r="587" spans="13:13" s="185" customFormat="1" x14ac:dyDescent="0.3">
      <c r="M587"/>
    </row>
    <row r="588" spans="13:13" s="185" customFormat="1" x14ac:dyDescent="0.3">
      <c r="M588"/>
    </row>
    <row r="589" spans="13:13" s="185" customFormat="1" x14ac:dyDescent="0.3">
      <c r="M589"/>
    </row>
    <row r="590" spans="13:13" s="185" customFormat="1" x14ac:dyDescent="0.3">
      <c r="M590"/>
    </row>
    <row r="591" spans="13:13" s="185" customFormat="1" x14ac:dyDescent="0.3">
      <c r="M591"/>
    </row>
    <row r="592" spans="13:13" s="185" customFormat="1" x14ac:dyDescent="0.3">
      <c r="M592"/>
    </row>
    <row r="593" spans="13:13" s="185" customFormat="1" x14ac:dyDescent="0.3">
      <c r="M593"/>
    </row>
    <row r="594" spans="13:13" s="185" customFormat="1" x14ac:dyDescent="0.3">
      <c r="M594"/>
    </row>
    <row r="595" spans="13:13" s="185" customFormat="1" x14ac:dyDescent="0.3">
      <c r="M595"/>
    </row>
    <row r="596" spans="13:13" s="185" customFormat="1" x14ac:dyDescent="0.3">
      <c r="M596"/>
    </row>
    <row r="597" spans="13:13" s="185" customFormat="1" x14ac:dyDescent="0.3">
      <c r="M597"/>
    </row>
    <row r="598" spans="13:13" s="185" customFormat="1" x14ac:dyDescent="0.3">
      <c r="M598"/>
    </row>
    <row r="599" spans="13:13" s="185" customFormat="1" x14ac:dyDescent="0.3">
      <c r="M599"/>
    </row>
    <row r="600" spans="13:13" s="185" customFormat="1" x14ac:dyDescent="0.3">
      <c r="M600"/>
    </row>
    <row r="601" spans="13:13" s="185" customFormat="1" x14ac:dyDescent="0.3">
      <c r="M601"/>
    </row>
    <row r="602" spans="13:13" s="185" customFormat="1" x14ac:dyDescent="0.3">
      <c r="M602"/>
    </row>
    <row r="603" spans="13:13" s="185" customFormat="1" x14ac:dyDescent="0.3">
      <c r="M603"/>
    </row>
    <row r="604" spans="13:13" s="185" customFormat="1" x14ac:dyDescent="0.3">
      <c r="M604"/>
    </row>
    <row r="605" spans="13:13" s="185" customFormat="1" x14ac:dyDescent="0.3">
      <c r="M605"/>
    </row>
    <row r="606" spans="13:13" s="185" customFormat="1" x14ac:dyDescent="0.3">
      <c r="M606"/>
    </row>
    <row r="607" spans="13:13" s="185" customFormat="1" x14ac:dyDescent="0.3">
      <c r="M607"/>
    </row>
    <row r="608" spans="13:13" s="185" customFormat="1" x14ac:dyDescent="0.3">
      <c r="M608"/>
    </row>
    <row r="609" spans="13:13" s="185" customFormat="1" x14ac:dyDescent="0.3">
      <c r="M609"/>
    </row>
    <row r="610" spans="13:13" s="185" customFormat="1" x14ac:dyDescent="0.3">
      <c r="M610"/>
    </row>
    <row r="611" spans="13:13" s="185" customFormat="1" x14ac:dyDescent="0.3">
      <c r="M611"/>
    </row>
    <row r="612" spans="13:13" s="185" customFormat="1" x14ac:dyDescent="0.3">
      <c r="M612"/>
    </row>
    <row r="613" spans="13:13" s="185" customFormat="1" x14ac:dyDescent="0.3">
      <c r="M613"/>
    </row>
    <row r="614" spans="13:13" s="185" customFormat="1" x14ac:dyDescent="0.3">
      <c r="M614"/>
    </row>
    <row r="615" spans="13:13" s="185" customFormat="1" x14ac:dyDescent="0.3">
      <c r="M615"/>
    </row>
    <row r="616" spans="13:13" s="185" customFormat="1" x14ac:dyDescent="0.3">
      <c r="M616"/>
    </row>
    <row r="617" spans="13:13" s="185" customFormat="1" x14ac:dyDescent="0.3">
      <c r="M617"/>
    </row>
    <row r="618" spans="13:13" s="185" customFormat="1" x14ac:dyDescent="0.3">
      <c r="M618"/>
    </row>
    <row r="619" spans="13:13" s="185" customFormat="1" x14ac:dyDescent="0.3">
      <c r="M619"/>
    </row>
    <row r="620" spans="13:13" s="185" customFormat="1" x14ac:dyDescent="0.3">
      <c r="M620"/>
    </row>
    <row r="621" spans="13:13" s="185" customFormat="1" x14ac:dyDescent="0.3">
      <c r="M621"/>
    </row>
    <row r="622" spans="13:13" s="185" customFormat="1" x14ac:dyDescent="0.3">
      <c r="M622"/>
    </row>
    <row r="623" spans="13:13" s="185" customFormat="1" x14ac:dyDescent="0.3">
      <c r="M623"/>
    </row>
    <row r="624" spans="13:13" s="185" customFormat="1" x14ac:dyDescent="0.3">
      <c r="M624"/>
    </row>
    <row r="625" spans="13:13" s="185" customFormat="1" x14ac:dyDescent="0.3">
      <c r="M625"/>
    </row>
    <row r="626" spans="13:13" s="185" customFormat="1" x14ac:dyDescent="0.3">
      <c r="M626"/>
    </row>
    <row r="627" spans="13:13" s="185" customFormat="1" x14ac:dyDescent="0.3">
      <c r="M627"/>
    </row>
    <row r="628" spans="13:13" s="185" customFormat="1" x14ac:dyDescent="0.3">
      <c r="M628"/>
    </row>
    <row r="629" spans="13:13" s="185" customFormat="1" x14ac:dyDescent="0.3">
      <c r="M629"/>
    </row>
    <row r="630" spans="13:13" s="185" customFormat="1" x14ac:dyDescent="0.3">
      <c r="M630"/>
    </row>
    <row r="631" spans="13:13" s="185" customFormat="1" x14ac:dyDescent="0.3">
      <c r="M631"/>
    </row>
    <row r="632" spans="13:13" s="185" customFormat="1" x14ac:dyDescent="0.3">
      <c r="M632"/>
    </row>
    <row r="633" spans="13:13" s="185" customFormat="1" x14ac:dyDescent="0.3">
      <c r="M633"/>
    </row>
    <row r="634" spans="13:13" s="185" customFormat="1" x14ac:dyDescent="0.3">
      <c r="M634"/>
    </row>
    <row r="635" spans="13:13" s="185" customFormat="1" x14ac:dyDescent="0.3">
      <c r="M635"/>
    </row>
    <row r="636" spans="13:13" s="185" customFormat="1" x14ac:dyDescent="0.3">
      <c r="M636"/>
    </row>
    <row r="637" spans="13:13" s="185" customFormat="1" x14ac:dyDescent="0.3">
      <c r="M637"/>
    </row>
    <row r="638" spans="13:13" s="185" customFormat="1" x14ac:dyDescent="0.3">
      <c r="M638"/>
    </row>
    <row r="639" spans="13:13" s="185" customFormat="1" x14ac:dyDescent="0.3">
      <c r="M639"/>
    </row>
    <row r="640" spans="13:13" s="185" customFormat="1" x14ac:dyDescent="0.3">
      <c r="M640"/>
    </row>
    <row r="641" spans="13:13" s="185" customFormat="1" x14ac:dyDescent="0.3">
      <c r="M641"/>
    </row>
    <row r="642" spans="13:13" s="185" customFormat="1" x14ac:dyDescent="0.3">
      <c r="M642"/>
    </row>
    <row r="643" spans="13:13" s="185" customFormat="1" x14ac:dyDescent="0.3">
      <c r="M643"/>
    </row>
    <row r="644" spans="13:13" s="185" customFormat="1" x14ac:dyDescent="0.3">
      <c r="M644"/>
    </row>
    <row r="645" spans="13:13" s="185" customFormat="1" x14ac:dyDescent="0.3">
      <c r="M645"/>
    </row>
    <row r="646" spans="13:13" s="185" customFormat="1" x14ac:dyDescent="0.3">
      <c r="M646"/>
    </row>
    <row r="647" spans="13:13" s="185" customFormat="1" x14ac:dyDescent="0.3">
      <c r="M647"/>
    </row>
    <row r="648" spans="13:13" s="185" customFormat="1" x14ac:dyDescent="0.3">
      <c r="M648"/>
    </row>
    <row r="649" spans="13:13" s="185" customFormat="1" x14ac:dyDescent="0.3">
      <c r="M649"/>
    </row>
    <row r="650" spans="13:13" s="185" customFormat="1" x14ac:dyDescent="0.3">
      <c r="M650"/>
    </row>
    <row r="651" spans="13:13" s="185" customFormat="1" x14ac:dyDescent="0.3">
      <c r="M651"/>
    </row>
    <row r="652" spans="13:13" s="185" customFormat="1" x14ac:dyDescent="0.3">
      <c r="M652"/>
    </row>
    <row r="653" spans="13:13" s="185" customFormat="1" x14ac:dyDescent="0.3">
      <c r="M653"/>
    </row>
    <row r="654" spans="13:13" s="185" customFormat="1" x14ac:dyDescent="0.3">
      <c r="M654"/>
    </row>
    <row r="655" spans="13:13" s="185" customFormat="1" x14ac:dyDescent="0.3">
      <c r="M655"/>
    </row>
    <row r="656" spans="13:13" s="185" customFormat="1" x14ac:dyDescent="0.3">
      <c r="M656"/>
    </row>
    <row r="657" spans="13:13" s="185" customFormat="1" x14ac:dyDescent="0.3">
      <c r="M657"/>
    </row>
    <row r="658" spans="13:13" s="185" customFormat="1" x14ac:dyDescent="0.3">
      <c r="M658"/>
    </row>
    <row r="659" spans="13:13" s="185" customFormat="1" x14ac:dyDescent="0.3">
      <c r="M659"/>
    </row>
    <row r="660" spans="13:13" s="185" customFormat="1" x14ac:dyDescent="0.3">
      <c r="M660"/>
    </row>
    <row r="661" spans="13:13" s="185" customFormat="1" x14ac:dyDescent="0.3">
      <c r="M661"/>
    </row>
    <row r="662" spans="13:13" s="185" customFormat="1" x14ac:dyDescent="0.3">
      <c r="M662"/>
    </row>
    <row r="663" spans="13:13" s="185" customFormat="1" x14ac:dyDescent="0.3">
      <c r="M663"/>
    </row>
    <row r="664" spans="13:13" s="185" customFormat="1" x14ac:dyDescent="0.3">
      <c r="M664"/>
    </row>
    <row r="665" spans="13:13" s="185" customFormat="1" x14ac:dyDescent="0.3">
      <c r="M665"/>
    </row>
    <row r="666" spans="13:13" s="185" customFormat="1" x14ac:dyDescent="0.3">
      <c r="M666"/>
    </row>
    <row r="667" spans="13:13" s="185" customFormat="1" x14ac:dyDescent="0.3">
      <c r="M667"/>
    </row>
    <row r="668" spans="13:13" s="185" customFormat="1" x14ac:dyDescent="0.3">
      <c r="M668"/>
    </row>
    <row r="669" spans="13:13" s="185" customFormat="1" x14ac:dyDescent="0.3">
      <c r="M669"/>
    </row>
    <row r="670" spans="13:13" s="185" customFormat="1" x14ac:dyDescent="0.3">
      <c r="M670"/>
    </row>
    <row r="671" spans="13:13" s="185" customFormat="1" x14ac:dyDescent="0.3">
      <c r="M671"/>
    </row>
    <row r="672" spans="13:13" s="185" customFormat="1" x14ac:dyDescent="0.3">
      <c r="M672"/>
    </row>
    <row r="673" spans="13:13" s="185" customFormat="1" x14ac:dyDescent="0.3">
      <c r="M673"/>
    </row>
    <row r="674" spans="13:13" s="185" customFormat="1" x14ac:dyDescent="0.3">
      <c r="M674"/>
    </row>
    <row r="675" spans="13:13" s="185" customFormat="1" x14ac:dyDescent="0.3">
      <c r="M675"/>
    </row>
    <row r="676" spans="13:13" s="185" customFormat="1" x14ac:dyDescent="0.3">
      <c r="M676"/>
    </row>
    <row r="677" spans="13:13" s="185" customFormat="1" x14ac:dyDescent="0.3">
      <c r="M677"/>
    </row>
    <row r="678" spans="13:13" s="185" customFormat="1" x14ac:dyDescent="0.3">
      <c r="M678"/>
    </row>
    <row r="679" spans="13:13" s="185" customFormat="1" x14ac:dyDescent="0.3">
      <c r="M679"/>
    </row>
    <row r="680" spans="13:13" s="185" customFormat="1" x14ac:dyDescent="0.3">
      <c r="M680"/>
    </row>
    <row r="681" spans="13:13" s="185" customFormat="1" x14ac:dyDescent="0.3">
      <c r="M681"/>
    </row>
    <row r="682" spans="13:13" s="185" customFormat="1" x14ac:dyDescent="0.3">
      <c r="M682"/>
    </row>
    <row r="683" spans="13:13" s="185" customFormat="1" x14ac:dyDescent="0.3">
      <c r="M683"/>
    </row>
    <row r="684" spans="13:13" s="185" customFormat="1" x14ac:dyDescent="0.3">
      <c r="M684"/>
    </row>
    <row r="685" spans="13:13" s="185" customFormat="1" x14ac:dyDescent="0.3">
      <c r="M685"/>
    </row>
    <row r="686" spans="13:13" s="185" customFormat="1" x14ac:dyDescent="0.3">
      <c r="M686"/>
    </row>
    <row r="687" spans="13:13" s="185" customFormat="1" x14ac:dyDescent="0.3">
      <c r="M687"/>
    </row>
    <row r="688" spans="13:13" s="185" customFormat="1" x14ac:dyDescent="0.3">
      <c r="M688"/>
    </row>
    <row r="689" spans="13:13" s="185" customFormat="1" x14ac:dyDescent="0.3">
      <c r="M689"/>
    </row>
    <row r="690" spans="13:13" s="185" customFormat="1" x14ac:dyDescent="0.3">
      <c r="M690"/>
    </row>
    <row r="691" spans="13:13" s="185" customFormat="1" x14ac:dyDescent="0.3">
      <c r="M691"/>
    </row>
    <row r="692" spans="13:13" s="185" customFormat="1" x14ac:dyDescent="0.3">
      <c r="M692"/>
    </row>
    <row r="693" spans="13:13" s="185" customFormat="1" x14ac:dyDescent="0.3">
      <c r="M693"/>
    </row>
    <row r="694" spans="13:13" s="185" customFormat="1" x14ac:dyDescent="0.3">
      <c r="M694"/>
    </row>
    <row r="695" spans="13:13" s="185" customFormat="1" x14ac:dyDescent="0.3">
      <c r="M695"/>
    </row>
    <row r="696" spans="13:13" s="185" customFormat="1" x14ac:dyDescent="0.3">
      <c r="M696"/>
    </row>
    <row r="697" spans="13:13" s="185" customFormat="1" x14ac:dyDescent="0.3">
      <c r="M697"/>
    </row>
    <row r="698" spans="13:13" s="185" customFormat="1" x14ac:dyDescent="0.3">
      <c r="M698"/>
    </row>
    <row r="699" spans="13:13" s="185" customFormat="1" x14ac:dyDescent="0.3">
      <c r="M699"/>
    </row>
    <row r="700" spans="13:13" s="185" customFormat="1" x14ac:dyDescent="0.3">
      <c r="M700"/>
    </row>
    <row r="701" spans="13:13" s="185" customFormat="1" x14ac:dyDescent="0.3">
      <c r="M701"/>
    </row>
    <row r="702" spans="13:13" s="185" customFormat="1" x14ac:dyDescent="0.3">
      <c r="M702"/>
    </row>
    <row r="703" spans="13:13" s="185" customFormat="1" x14ac:dyDescent="0.3">
      <c r="M703"/>
    </row>
    <row r="704" spans="13:13" s="185" customFormat="1" x14ac:dyDescent="0.3">
      <c r="M704"/>
    </row>
    <row r="705" spans="13:13" s="185" customFormat="1" x14ac:dyDescent="0.3">
      <c r="M705"/>
    </row>
    <row r="706" spans="13:13" s="185" customFormat="1" x14ac:dyDescent="0.3">
      <c r="M706"/>
    </row>
    <row r="707" spans="13:13" s="185" customFormat="1" x14ac:dyDescent="0.3">
      <c r="M707"/>
    </row>
    <row r="708" spans="13:13" s="185" customFormat="1" x14ac:dyDescent="0.3">
      <c r="M708"/>
    </row>
    <row r="709" spans="13:13" s="185" customFormat="1" x14ac:dyDescent="0.3">
      <c r="M709"/>
    </row>
    <row r="710" spans="13:13" s="185" customFormat="1" x14ac:dyDescent="0.3">
      <c r="M710"/>
    </row>
    <row r="711" spans="13:13" s="185" customFormat="1" x14ac:dyDescent="0.3">
      <c r="M711"/>
    </row>
    <row r="712" spans="13:13" s="185" customFormat="1" x14ac:dyDescent="0.3">
      <c r="M712"/>
    </row>
    <row r="713" spans="13:13" s="185" customFormat="1" x14ac:dyDescent="0.3">
      <c r="M713"/>
    </row>
    <row r="714" spans="13:13" s="185" customFormat="1" x14ac:dyDescent="0.3">
      <c r="M714"/>
    </row>
    <row r="715" spans="13:13" s="185" customFormat="1" x14ac:dyDescent="0.3">
      <c r="M715"/>
    </row>
    <row r="716" spans="13:13" s="185" customFormat="1" x14ac:dyDescent="0.3">
      <c r="M716"/>
    </row>
    <row r="717" spans="13:13" s="185" customFormat="1" x14ac:dyDescent="0.3">
      <c r="M717"/>
    </row>
    <row r="718" spans="13:13" s="185" customFormat="1" x14ac:dyDescent="0.3">
      <c r="M718"/>
    </row>
    <row r="719" spans="13:13" s="185" customFormat="1" x14ac:dyDescent="0.3">
      <c r="M719"/>
    </row>
    <row r="720" spans="13:13" s="185" customFormat="1" x14ac:dyDescent="0.3">
      <c r="M720"/>
    </row>
    <row r="721" spans="13:13" s="185" customFormat="1" x14ac:dyDescent="0.3">
      <c r="M721"/>
    </row>
    <row r="722" spans="13:13" s="185" customFormat="1" x14ac:dyDescent="0.3">
      <c r="M722"/>
    </row>
    <row r="723" spans="13:13" s="185" customFormat="1" x14ac:dyDescent="0.3">
      <c r="M723"/>
    </row>
    <row r="724" spans="13:13" s="185" customFormat="1" x14ac:dyDescent="0.3">
      <c r="M724"/>
    </row>
    <row r="725" spans="13:13" s="185" customFormat="1" x14ac:dyDescent="0.3">
      <c r="M725"/>
    </row>
    <row r="726" spans="13:13" s="185" customFormat="1" x14ac:dyDescent="0.3">
      <c r="M726"/>
    </row>
    <row r="727" spans="13:13" s="185" customFormat="1" x14ac:dyDescent="0.3">
      <c r="M727"/>
    </row>
    <row r="728" spans="13:13" s="185" customFormat="1" x14ac:dyDescent="0.3">
      <c r="M728"/>
    </row>
    <row r="729" spans="13:13" s="185" customFormat="1" x14ac:dyDescent="0.3">
      <c r="M729"/>
    </row>
    <row r="730" spans="13:13" s="185" customFormat="1" x14ac:dyDescent="0.3">
      <c r="M730"/>
    </row>
    <row r="731" spans="13:13" s="185" customFormat="1" x14ac:dyDescent="0.3">
      <c r="M731"/>
    </row>
    <row r="732" spans="13:13" s="185" customFormat="1" x14ac:dyDescent="0.3">
      <c r="M732"/>
    </row>
    <row r="733" spans="13:13" s="185" customFormat="1" x14ac:dyDescent="0.3">
      <c r="M733"/>
    </row>
    <row r="734" spans="13:13" s="185" customFormat="1" x14ac:dyDescent="0.3">
      <c r="M734"/>
    </row>
    <row r="735" spans="13:13" s="185" customFormat="1" x14ac:dyDescent="0.3">
      <c r="M735"/>
    </row>
    <row r="736" spans="13:13" s="185" customFormat="1" x14ac:dyDescent="0.3">
      <c r="M736"/>
    </row>
    <row r="737" spans="13:13" s="185" customFormat="1" x14ac:dyDescent="0.3">
      <c r="M737"/>
    </row>
    <row r="738" spans="13:13" s="185" customFormat="1" x14ac:dyDescent="0.3">
      <c r="M738"/>
    </row>
    <row r="739" spans="13:13" s="185" customFormat="1" x14ac:dyDescent="0.3">
      <c r="M739"/>
    </row>
    <row r="740" spans="13:13" s="185" customFormat="1" x14ac:dyDescent="0.3">
      <c r="M740"/>
    </row>
    <row r="741" spans="13:13" s="185" customFormat="1" x14ac:dyDescent="0.3">
      <c r="M741"/>
    </row>
    <row r="742" spans="13:13" s="185" customFormat="1" x14ac:dyDescent="0.3">
      <c r="M742"/>
    </row>
    <row r="743" spans="13:13" s="185" customFormat="1" x14ac:dyDescent="0.3">
      <c r="M743"/>
    </row>
    <row r="744" spans="13:13" s="185" customFormat="1" x14ac:dyDescent="0.3">
      <c r="M744"/>
    </row>
    <row r="745" spans="13:13" s="185" customFormat="1" x14ac:dyDescent="0.3">
      <c r="M745"/>
    </row>
    <row r="746" spans="13:13" s="185" customFormat="1" x14ac:dyDescent="0.3">
      <c r="M746"/>
    </row>
    <row r="747" spans="13:13" s="185" customFormat="1" x14ac:dyDescent="0.3">
      <c r="M747"/>
    </row>
    <row r="748" spans="13:13" s="185" customFormat="1" x14ac:dyDescent="0.3">
      <c r="M748"/>
    </row>
    <row r="749" spans="13:13" s="185" customFormat="1" x14ac:dyDescent="0.3">
      <c r="M749"/>
    </row>
    <row r="750" spans="13:13" s="185" customFormat="1" x14ac:dyDescent="0.3">
      <c r="M750"/>
    </row>
    <row r="751" spans="13:13" s="185" customFormat="1" x14ac:dyDescent="0.3">
      <c r="M751"/>
    </row>
    <row r="752" spans="13:13" s="185" customFormat="1" x14ac:dyDescent="0.3">
      <c r="M752"/>
    </row>
    <row r="753" spans="13:13" s="185" customFormat="1" x14ac:dyDescent="0.3">
      <c r="M753"/>
    </row>
    <row r="754" spans="13:13" s="185" customFormat="1" x14ac:dyDescent="0.3">
      <c r="M754"/>
    </row>
    <row r="755" spans="13:13" s="185" customFormat="1" x14ac:dyDescent="0.3">
      <c r="M755"/>
    </row>
    <row r="756" spans="13:13" s="185" customFormat="1" x14ac:dyDescent="0.3">
      <c r="M756"/>
    </row>
    <row r="757" spans="13:13" s="185" customFormat="1" x14ac:dyDescent="0.3">
      <c r="M757"/>
    </row>
    <row r="758" spans="13:13" s="185" customFormat="1" x14ac:dyDescent="0.3">
      <c r="M758"/>
    </row>
    <row r="759" spans="13:13" s="185" customFormat="1" x14ac:dyDescent="0.3">
      <c r="M759"/>
    </row>
    <row r="760" spans="13:13" s="185" customFormat="1" x14ac:dyDescent="0.3">
      <c r="M760"/>
    </row>
    <row r="761" spans="13:13" s="185" customFormat="1" x14ac:dyDescent="0.3">
      <c r="M761"/>
    </row>
    <row r="762" spans="13:13" s="185" customFormat="1" x14ac:dyDescent="0.3">
      <c r="M762"/>
    </row>
    <row r="763" spans="13:13" s="185" customFormat="1" x14ac:dyDescent="0.3">
      <c r="M763"/>
    </row>
    <row r="764" spans="13:13" s="185" customFormat="1" x14ac:dyDescent="0.3">
      <c r="M764"/>
    </row>
    <row r="765" spans="13:13" s="185" customFormat="1" x14ac:dyDescent="0.3">
      <c r="M765"/>
    </row>
    <row r="766" spans="13:13" s="185" customFormat="1" x14ac:dyDescent="0.3">
      <c r="M766"/>
    </row>
    <row r="767" spans="13:13" s="185" customFormat="1" x14ac:dyDescent="0.3">
      <c r="M767"/>
    </row>
    <row r="768" spans="13:13" s="185" customFormat="1" x14ac:dyDescent="0.3">
      <c r="M768"/>
    </row>
    <row r="769" spans="13:13" s="185" customFormat="1" x14ac:dyDescent="0.3">
      <c r="M769"/>
    </row>
    <row r="770" spans="13:13" s="185" customFormat="1" x14ac:dyDescent="0.3">
      <c r="M770"/>
    </row>
    <row r="771" spans="13:13" s="185" customFormat="1" x14ac:dyDescent="0.3">
      <c r="M771"/>
    </row>
    <row r="772" spans="13:13" s="185" customFormat="1" x14ac:dyDescent="0.3">
      <c r="M772"/>
    </row>
    <row r="773" spans="13:13" s="185" customFormat="1" x14ac:dyDescent="0.3">
      <c r="M773"/>
    </row>
    <row r="774" spans="13:13" s="185" customFormat="1" x14ac:dyDescent="0.3">
      <c r="M774"/>
    </row>
    <row r="775" spans="13:13" s="185" customFormat="1" x14ac:dyDescent="0.3">
      <c r="M775"/>
    </row>
    <row r="776" spans="13:13" s="185" customFormat="1" x14ac:dyDescent="0.3">
      <c r="M776"/>
    </row>
    <row r="777" spans="13:13" s="185" customFormat="1" x14ac:dyDescent="0.3">
      <c r="M777"/>
    </row>
    <row r="778" spans="13:13" s="185" customFormat="1" x14ac:dyDescent="0.3">
      <c r="M778"/>
    </row>
    <row r="779" spans="13:13" s="185" customFormat="1" x14ac:dyDescent="0.3">
      <c r="M779"/>
    </row>
    <row r="780" spans="13:13" s="185" customFormat="1" x14ac:dyDescent="0.3">
      <c r="M780"/>
    </row>
    <row r="781" spans="13:13" s="185" customFormat="1" x14ac:dyDescent="0.3">
      <c r="M781"/>
    </row>
    <row r="782" spans="13:13" s="185" customFormat="1" x14ac:dyDescent="0.3">
      <c r="M782"/>
    </row>
    <row r="783" spans="13:13" s="185" customFormat="1" x14ac:dyDescent="0.3">
      <c r="M783"/>
    </row>
    <row r="784" spans="13:13" s="185" customFormat="1" x14ac:dyDescent="0.3">
      <c r="M784"/>
    </row>
    <row r="785" spans="13:13" s="185" customFormat="1" x14ac:dyDescent="0.3">
      <c r="M785"/>
    </row>
    <row r="786" spans="13:13" s="185" customFormat="1" x14ac:dyDescent="0.3">
      <c r="M786"/>
    </row>
    <row r="787" spans="13:13" s="185" customFormat="1" x14ac:dyDescent="0.3">
      <c r="M787"/>
    </row>
    <row r="788" spans="13:13" s="185" customFormat="1" x14ac:dyDescent="0.3">
      <c r="M788"/>
    </row>
    <row r="789" spans="13:13" s="185" customFormat="1" x14ac:dyDescent="0.3">
      <c r="M789"/>
    </row>
    <row r="790" spans="13:13" s="185" customFormat="1" x14ac:dyDescent="0.3">
      <c r="M790"/>
    </row>
    <row r="791" spans="13:13" s="185" customFormat="1" x14ac:dyDescent="0.3">
      <c r="M791"/>
    </row>
    <row r="792" spans="13:13" s="185" customFormat="1" x14ac:dyDescent="0.3">
      <c r="M792"/>
    </row>
    <row r="793" spans="13:13" s="185" customFormat="1" x14ac:dyDescent="0.3">
      <c r="M793"/>
    </row>
    <row r="794" spans="13:13" s="185" customFormat="1" x14ac:dyDescent="0.3">
      <c r="M794"/>
    </row>
    <row r="795" spans="13:13" s="185" customFormat="1" x14ac:dyDescent="0.3">
      <c r="M795"/>
    </row>
    <row r="796" spans="13:13" s="185" customFormat="1" x14ac:dyDescent="0.3">
      <c r="M796"/>
    </row>
    <row r="797" spans="13:13" s="185" customFormat="1" x14ac:dyDescent="0.3">
      <c r="M797"/>
    </row>
    <row r="798" spans="13:13" s="185" customFormat="1" x14ac:dyDescent="0.3">
      <c r="M798"/>
    </row>
    <row r="799" spans="13:13" s="185" customFormat="1" x14ac:dyDescent="0.3">
      <c r="M799"/>
    </row>
    <row r="800" spans="13:13" s="185" customFormat="1" x14ac:dyDescent="0.3">
      <c r="M800"/>
    </row>
    <row r="801" spans="13:13" s="185" customFormat="1" x14ac:dyDescent="0.3">
      <c r="M801"/>
    </row>
    <row r="802" spans="13:13" s="185" customFormat="1" x14ac:dyDescent="0.3">
      <c r="M802"/>
    </row>
    <row r="803" spans="13:13" s="185" customFormat="1" x14ac:dyDescent="0.3">
      <c r="M803"/>
    </row>
    <row r="804" spans="13:13" s="185" customFormat="1" x14ac:dyDescent="0.3">
      <c r="M804"/>
    </row>
    <row r="805" spans="13:13" s="185" customFormat="1" x14ac:dyDescent="0.3">
      <c r="M805"/>
    </row>
    <row r="806" spans="13:13" s="185" customFormat="1" x14ac:dyDescent="0.3">
      <c r="M806"/>
    </row>
    <row r="807" spans="13:13" s="185" customFormat="1" x14ac:dyDescent="0.3">
      <c r="M807"/>
    </row>
    <row r="808" spans="13:13" s="185" customFormat="1" x14ac:dyDescent="0.3">
      <c r="M808"/>
    </row>
    <row r="809" spans="13:13" s="185" customFormat="1" x14ac:dyDescent="0.3">
      <c r="M809"/>
    </row>
    <row r="810" spans="13:13" s="185" customFormat="1" x14ac:dyDescent="0.3">
      <c r="M810"/>
    </row>
    <row r="811" spans="13:13" s="185" customFormat="1" x14ac:dyDescent="0.3">
      <c r="M811"/>
    </row>
    <row r="812" spans="13:13" s="185" customFormat="1" x14ac:dyDescent="0.3">
      <c r="M812"/>
    </row>
    <row r="813" spans="13:13" s="185" customFormat="1" x14ac:dyDescent="0.3">
      <c r="M813"/>
    </row>
    <row r="814" spans="13:13" s="185" customFormat="1" x14ac:dyDescent="0.3">
      <c r="M814"/>
    </row>
    <row r="815" spans="13:13" s="185" customFormat="1" x14ac:dyDescent="0.3">
      <c r="M815"/>
    </row>
    <row r="816" spans="13:13" s="185" customFormat="1" x14ac:dyDescent="0.3">
      <c r="M816"/>
    </row>
    <row r="817" spans="13:13" s="185" customFormat="1" x14ac:dyDescent="0.3">
      <c r="M817"/>
    </row>
    <row r="818" spans="13:13" s="185" customFormat="1" x14ac:dyDescent="0.3">
      <c r="M818"/>
    </row>
    <row r="819" spans="13:13" s="185" customFormat="1" x14ac:dyDescent="0.3">
      <c r="M819"/>
    </row>
    <row r="820" spans="13:13" s="185" customFormat="1" x14ac:dyDescent="0.3">
      <c r="M820"/>
    </row>
    <row r="821" spans="13:13" s="185" customFormat="1" x14ac:dyDescent="0.3">
      <c r="M821"/>
    </row>
    <row r="822" spans="13:13" s="185" customFormat="1" x14ac:dyDescent="0.3">
      <c r="M822"/>
    </row>
    <row r="823" spans="13:13" s="185" customFormat="1" x14ac:dyDescent="0.3">
      <c r="M823"/>
    </row>
    <row r="824" spans="13:13" s="185" customFormat="1" x14ac:dyDescent="0.3">
      <c r="M824"/>
    </row>
    <row r="825" spans="13:13" s="185" customFormat="1" x14ac:dyDescent="0.3">
      <c r="M825"/>
    </row>
    <row r="826" spans="13:13" s="185" customFormat="1" x14ac:dyDescent="0.3">
      <c r="M826"/>
    </row>
    <row r="827" spans="13:13" s="185" customFormat="1" x14ac:dyDescent="0.3">
      <c r="M827"/>
    </row>
    <row r="828" spans="13:13" s="185" customFormat="1" x14ac:dyDescent="0.3">
      <c r="M828"/>
    </row>
    <row r="829" spans="13:13" s="185" customFormat="1" x14ac:dyDescent="0.3">
      <c r="M829"/>
    </row>
    <row r="830" spans="13:13" s="185" customFormat="1" x14ac:dyDescent="0.3">
      <c r="M830"/>
    </row>
    <row r="831" spans="13:13" s="185" customFormat="1" x14ac:dyDescent="0.3">
      <c r="M831"/>
    </row>
    <row r="832" spans="13:13" s="185" customFormat="1" x14ac:dyDescent="0.3">
      <c r="M832"/>
    </row>
    <row r="833" spans="13:13" s="185" customFormat="1" x14ac:dyDescent="0.3">
      <c r="M833"/>
    </row>
    <row r="834" spans="13:13" s="185" customFormat="1" x14ac:dyDescent="0.3">
      <c r="M834"/>
    </row>
    <row r="835" spans="13:13" s="185" customFormat="1" x14ac:dyDescent="0.3">
      <c r="M835"/>
    </row>
    <row r="836" spans="13:13" s="185" customFormat="1" x14ac:dyDescent="0.3">
      <c r="M836"/>
    </row>
    <row r="837" spans="13:13" s="185" customFormat="1" x14ac:dyDescent="0.3">
      <c r="M837"/>
    </row>
    <row r="838" spans="13:13" s="185" customFormat="1" x14ac:dyDescent="0.3">
      <c r="M838"/>
    </row>
    <row r="839" spans="13:13" s="185" customFormat="1" x14ac:dyDescent="0.3">
      <c r="M839"/>
    </row>
    <row r="840" spans="13:13" s="185" customFormat="1" x14ac:dyDescent="0.3">
      <c r="M840"/>
    </row>
    <row r="841" spans="13:13" s="185" customFormat="1" x14ac:dyDescent="0.3">
      <c r="M841"/>
    </row>
    <row r="842" spans="13:13" s="185" customFormat="1" x14ac:dyDescent="0.3">
      <c r="M842"/>
    </row>
    <row r="843" spans="13:13" s="185" customFormat="1" x14ac:dyDescent="0.3">
      <c r="M843"/>
    </row>
    <row r="844" spans="13:13" s="185" customFormat="1" x14ac:dyDescent="0.3">
      <c r="M844"/>
    </row>
    <row r="845" spans="13:13" s="185" customFormat="1" x14ac:dyDescent="0.3">
      <c r="M845"/>
    </row>
    <row r="846" spans="13:13" s="185" customFormat="1" x14ac:dyDescent="0.3">
      <c r="M846"/>
    </row>
    <row r="847" spans="13:13" s="185" customFormat="1" x14ac:dyDescent="0.3">
      <c r="M847"/>
    </row>
    <row r="848" spans="13:13" s="185" customFormat="1" x14ac:dyDescent="0.3">
      <c r="M848"/>
    </row>
    <row r="849" spans="13:13" s="185" customFormat="1" x14ac:dyDescent="0.3">
      <c r="M849"/>
    </row>
    <row r="850" spans="13:13" s="185" customFormat="1" x14ac:dyDescent="0.3">
      <c r="M850"/>
    </row>
    <row r="851" spans="13:13" s="185" customFormat="1" x14ac:dyDescent="0.3">
      <c r="M851"/>
    </row>
    <row r="852" spans="13:13" s="185" customFormat="1" x14ac:dyDescent="0.3">
      <c r="M852"/>
    </row>
    <row r="853" spans="13:13" s="185" customFormat="1" x14ac:dyDescent="0.3">
      <c r="M853"/>
    </row>
    <row r="854" spans="13:13" s="185" customFormat="1" x14ac:dyDescent="0.3">
      <c r="M854"/>
    </row>
    <row r="855" spans="13:13" s="185" customFormat="1" x14ac:dyDescent="0.3">
      <c r="M855"/>
    </row>
    <row r="856" spans="13:13" s="185" customFormat="1" x14ac:dyDescent="0.3">
      <c r="M856"/>
    </row>
    <row r="857" spans="13:13" s="185" customFormat="1" x14ac:dyDescent="0.3">
      <c r="M857"/>
    </row>
    <row r="858" spans="13:13" s="185" customFormat="1" x14ac:dyDescent="0.3">
      <c r="M858"/>
    </row>
    <row r="859" spans="13:13" s="185" customFormat="1" x14ac:dyDescent="0.3">
      <c r="M859"/>
    </row>
    <row r="860" spans="13:13" s="185" customFormat="1" x14ac:dyDescent="0.3">
      <c r="M860"/>
    </row>
    <row r="861" spans="13:13" s="185" customFormat="1" x14ac:dyDescent="0.3">
      <c r="M861"/>
    </row>
    <row r="862" spans="13:13" s="185" customFormat="1" x14ac:dyDescent="0.3">
      <c r="M862"/>
    </row>
    <row r="863" spans="13:13" s="185" customFormat="1" x14ac:dyDescent="0.3">
      <c r="M863"/>
    </row>
    <row r="864" spans="13:13" s="185" customFormat="1" x14ac:dyDescent="0.3">
      <c r="M864"/>
    </row>
    <row r="865" spans="13:13" s="185" customFormat="1" x14ac:dyDescent="0.3">
      <c r="M865"/>
    </row>
    <row r="866" spans="13:13" s="185" customFormat="1" x14ac:dyDescent="0.3">
      <c r="M866"/>
    </row>
    <row r="867" spans="13:13" s="185" customFormat="1" x14ac:dyDescent="0.3">
      <c r="M867"/>
    </row>
    <row r="868" spans="13:13" s="185" customFormat="1" x14ac:dyDescent="0.3">
      <c r="M868"/>
    </row>
    <row r="869" spans="13:13" s="185" customFormat="1" x14ac:dyDescent="0.3">
      <c r="M869"/>
    </row>
    <row r="870" spans="13:13" s="185" customFormat="1" x14ac:dyDescent="0.3">
      <c r="M870"/>
    </row>
    <row r="871" spans="13:13" s="185" customFormat="1" x14ac:dyDescent="0.3">
      <c r="M871"/>
    </row>
    <row r="872" spans="13:13" s="185" customFormat="1" x14ac:dyDescent="0.3">
      <c r="M872"/>
    </row>
    <row r="873" spans="13:13" s="185" customFormat="1" x14ac:dyDescent="0.3">
      <c r="M873"/>
    </row>
    <row r="874" spans="13:13" s="185" customFormat="1" x14ac:dyDescent="0.3">
      <c r="M874"/>
    </row>
    <row r="875" spans="13:13" s="185" customFormat="1" x14ac:dyDescent="0.3">
      <c r="M875"/>
    </row>
    <row r="876" spans="13:13" s="185" customFormat="1" x14ac:dyDescent="0.3">
      <c r="M876"/>
    </row>
    <row r="877" spans="13:13" s="185" customFormat="1" x14ac:dyDescent="0.3">
      <c r="M877"/>
    </row>
    <row r="878" spans="13:13" s="185" customFormat="1" x14ac:dyDescent="0.3">
      <c r="M878"/>
    </row>
    <row r="879" spans="13:13" s="185" customFormat="1" x14ac:dyDescent="0.3">
      <c r="M879"/>
    </row>
    <row r="880" spans="13:13" s="185" customFormat="1" x14ac:dyDescent="0.3">
      <c r="M880"/>
    </row>
    <row r="881" spans="13:13" s="185" customFormat="1" x14ac:dyDescent="0.3">
      <c r="M881"/>
    </row>
    <row r="882" spans="13:13" s="185" customFormat="1" x14ac:dyDescent="0.3">
      <c r="M882"/>
    </row>
    <row r="883" spans="13:13" s="185" customFormat="1" x14ac:dyDescent="0.3">
      <c r="M883"/>
    </row>
    <row r="884" spans="13:13" s="185" customFormat="1" x14ac:dyDescent="0.3">
      <c r="M884"/>
    </row>
    <row r="885" spans="13:13" s="185" customFormat="1" x14ac:dyDescent="0.3">
      <c r="M885"/>
    </row>
    <row r="886" spans="13:13" s="185" customFormat="1" x14ac:dyDescent="0.3">
      <c r="M886"/>
    </row>
    <row r="887" spans="13:13" s="185" customFormat="1" x14ac:dyDescent="0.3">
      <c r="M887"/>
    </row>
    <row r="888" spans="13:13" s="185" customFormat="1" x14ac:dyDescent="0.3">
      <c r="M888"/>
    </row>
    <row r="889" spans="13:13" s="185" customFormat="1" x14ac:dyDescent="0.3">
      <c r="M889"/>
    </row>
    <row r="890" spans="13:13" s="185" customFormat="1" x14ac:dyDescent="0.3">
      <c r="M890"/>
    </row>
    <row r="891" spans="13:13" s="185" customFormat="1" x14ac:dyDescent="0.3">
      <c r="M891"/>
    </row>
    <row r="892" spans="13:13" s="185" customFormat="1" x14ac:dyDescent="0.3">
      <c r="M892"/>
    </row>
    <row r="893" spans="13:13" s="185" customFormat="1" x14ac:dyDescent="0.3">
      <c r="M893"/>
    </row>
    <row r="894" spans="13:13" s="185" customFormat="1" x14ac:dyDescent="0.3">
      <c r="M894"/>
    </row>
    <row r="895" spans="13:13" s="185" customFormat="1" x14ac:dyDescent="0.3">
      <c r="M895"/>
    </row>
    <row r="896" spans="13:13" s="185" customFormat="1" x14ac:dyDescent="0.3">
      <c r="M896"/>
    </row>
    <row r="897" spans="13:13" s="185" customFormat="1" x14ac:dyDescent="0.3">
      <c r="M897"/>
    </row>
    <row r="898" spans="13:13" s="185" customFormat="1" x14ac:dyDescent="0.3">
      <c r="M898"/>
    </row>
    <row r="899" spans="13:13" s="185" customFormat="1" x14ac:dyDescent="0.3">
      <c r="M899"/>
    </row>
    <row r="900" spans="13:13" s="185" customFormat="1" x14ac:dyDescent="0.3">
      <c r="M900"/>
    </row>
    <row r="901" spans="13:13" s="185" customFormat="1" x14ac:dyDescent="0.3">
      <c r="M901"/>
    </row>
    <row r="902" spans="13:13" s="185" customFormat="1" x14ac:dyDescent="0.3">
      <c r="M902"/>
    </row>
    <row r="903" spans="13:13" s="185" customFormat="1" x14ac:dyDescent="0.3">
      <c r="M903"/>
    </row>
    <row r="904" spans="13:13" s="185" customFormat="1" x14ac:dyDescent="0.3">
      <c r="M904"/>
    </row>
    <row r="905" spans="13:13" s="185" customFormat="1" x14ac:dyDescent="0.3">
      <c r="M905"/>
    </row>
    <row r="906" spans="13:13" s="185" customFormat="1" x14ac:dyDescent="0.3">
      <c r="M906"/>
    </row>
    <row r="907" spans="13:13" s="185" customFormat="1" x14ac:dyDescent="0.3">
      <c r="M907"/>
    </row>
    <row r="908" spans="13:13" s="185" customFormat="1" x14ac:dyDescent="0.3">
      <c r="M908"/>
    </row>
    <row r="909" spans="13:13" s="185" customFormat="1" x14ac:dyDescent="0.3">
      <c r="M909"/>
    </row>
    <row r="910" spans="13:13" s="185" customFormat="1" x14ac:dyDescent="0.3">
      <c r="M910"/>
    </row>
    <row r="911" spans="13:13" s="185" customFormat="1" x14ac:dyDescent="0.3">
      <c r="M911"/>
    </row>
    <row r="912" spans="13:13" s="185" customFormat="1" x14ac:dyDescent="0.3">
      <c r="M912"/>
    </row>
    <row r="913" spans="13:13" s="185" customFormat="1" x14ac:dyDescent="0.3">
      <c r="M913"/>
    </row>
    <row r="914" spans="13:13" s="185" customFormat="1" x14ac:dyDescent="0.3">
      <c r="M914"/>
    </row>
    <row r="915" spans="13:13" s="185" customFormat="1" x14ac:dyDescent="0.3">
      <c r="M915"/>
    </row>
    <row r="916" spans="13:13" s="185" customFormat="1" x14ac:dyDescent="0.3">
      <c r="M916"/>
    </row>
    <row r="917" spans="13:13" s="185" customFormat="1" x14ac:dyDescent="0.3">
      <c r="M917"/>
    </row>
    <row r="918" spans="13:13" s="185" customFormat="1" x14ac:dyDescent="0.3">
      <c r="M918"/>
    </row>
    <row r="919" spans="13:13" s="185" customFormat="1" x14ac:dyDescent="0.3">
      <c r="M919"/>
    </row>
    <row r="920" spans="13:13" s="185" customFormat="1" x14ac:dyDescent="0.3">
      <c r="M920"/>
    </row>
    <row r="921" spans="13:13" s="185" customFormat="1" x14ac:dyDescent="0.3">
      <c r="M921"/>
    </row>
    <row r="922" spans="13:13" s="185" customFormat="1" x14ac:dyDescent="0.3">
      <c r="M922"/>
    </row>
    <row r="923" spans="13:13" s="185" customFormat="1" x14ac:dyDescent="0.3">
      <c r="M923"/>
    </row>
    <row r="924" spans="13:13" s="185" customFormat="1" x14ac:dyDescent="0.3">
      <c r="M924"/>
    </row>
    <row r="925" spans="13:13" s="185" customFormat="1" x14ac:dyDescent="0.3">
      <c r="M925"/>
    </row>
    <row r="926" spans="13:13" s="185" customFormat="1" x14ac:dyDescent="0.3">
      <c r="M926"/>
    </row>
    <row r="927" spans="13:13" s="185" customFormat="1" x14ac:dyDescent="0.3">
      <c r="M927"/>
    </row>
    <row r="928" spans="13:13" s="185" customFormat="1" x14ac:dyDescent="0.3">
      <c r="M928"/>
    </row>
    <row r="929" spans="13:13" s="185" customFormat="1" x14ac:dyDescent="0.3">
      <c r="M929"/>
    </row>
    <row r="930" spans="13:13" s="185" customFormat="1" x14ac:dyDescent="0.3">
      <c r="M930"/>
    </row>
    <row r="931" spans="13:13" s="185" customFormat="1" x14ac:dyDescent="0.3">
      <c r="M931"/>
    </row>
    <row r="932" spans="13:13" s="185" customFormat="1" x14ac:dyDescent="0.3">
      <c r="M932"/>
    </row>
    <row r="933" spans="13:13" s="185" customFormat="1" x14ac:dyDescent="0.3">
      <c r="M933"/>
    </row>
    <row r="934" spans="13:13" s="185" customFormat="1" x14ac:dyDescent="0.3">
      <c r="M934"/>
    </row>
    <row r="935" spans="13:13" s="185" customFormat="1" x14ac:dyDescent="0.3">
      <c r="M935"/>
    </row>
    <row r="936" spans="13:13" s="185" customFormat="1" x14ac:dyDescent="0.3">
      <c r="M936"/>
    </row>
    <row r="937" spans="13:13" s="185" customFormat="1" x14ac:dyDescent="0.3">
      <c r="M937"/>
    </row>
    <row r="938" spans="13:13" s="185" customFormat="1" x14ac:dyDescent="0.3">
      <c r="M938"/>
    </row>
    <row r="939" spans="13:13" s="185" customFormat="1" x14ac:dyDescent="0.3">
      <c r="M939"/>
    </row>
    <row r="940" spans="13:13" s="185" customFormat="1" x14ac:dyDescent="0.3">
      <c r="M940"/>
    </row>
    <row r="941" spans="13:13" s="185" customFormat="1" x14ac:dyDescent="0.3">
      <c r="M941"/>
    </row>
    <row r="942" spans="13:13" s="185" customFormat="1" x14ac:dyDescent="0.3">
      <c r="M942"/>
    </row>
    <row r="943" spans="13:13" s="185" customFormat="1" x14ac:dyDescent="0.3">
      <c r="M943"/>
    </row>
    <row r="944" spans="13:13" s="185" customFormat="1" x14ac:dyDescent="0.3">
      <c r="M944"/>
    </row>
    <row r="945" spans="13:13" s="185" customFormat="1" x14ac:dyDescent="0.3">
      <c r="M945"/>
    </row>
    <row r="946" spans="13:13" s="185" customFormat="1" x14ac:dyDescent="0.3">
      <c r="M946"/>
    </row>
    <row r="947" spans="13:13" s="185" customFormat="1" x14ac:dyDescent="0.3">
      <c r="M947"/>
    </row>
    <row r="948" spans="13:13" s="185" customFormat="1" x14ac:dyDescent="0.3">
      <c r="M948"/>
    </row>
    <row r="949" spans="13:13" s="185" customFormat="1" x14ac:dyDescent="0.3">
      <c r="M949"/>
    </row>
    <row r="950" spans="13:13" s="185" customFormat="1" x14ac:dyDescent="0.3">
      <c r="M950"/>
    </row>
    <row r="951" spans="13:13" s="185" customFormat="1" x14ac:dyDescent="0.3">
      <c r="M951"/>
    </row>
    <row r="952" spans="13:13" s="185" customFormat="1" x14ac:dyDescent="0.3">
      <c r="M952"/>
    </row>
    <row r="953" spans="13:13" s="185" customFormat="1" x14ac:dyDescent="0.3">
      <c r="M953"/>
    </row>
    <row r="954" spans="13:13" s="185" customFormat="1" x14ac:dyDescent="0.3">
      <c r="M954"/>
    </row>
    <row r="955" spans="13:13" s="185" customFormat="1" x14ac:dyDescent="0.3">
      <c r="M955"/>
    </row>
    <row r="956" spans="13:13" s="185" customFormat="1" x14ac:dyDescent="0.3">
      <c r="M956"/>
    </row>
    <row r="957" spans="13:13" s="185" customFormat="1" x14ac:dyDescent="0.3">
      <c r="M957"/>
    </row>
    <row r="958" spans="13:13" s="185" customFormat="1" x14ac:dyDescent="0.3">
      <c r="M958"/>
    </row>
    <row r="959" spans="13:13" s="185" customFormat="1" x14ac:dyDescent="0.3">
      <c r="M959"/>
    </row>
    <row r="960" spans="13:13" s="185" customFormat="1" x14ac:dyDescent="0.3">
      <c r="M960"/>
    </row>
    <row r="961" spans="13:13" s="185" customFormat="1" x14ac:dyDescent="0.3">
      <c r="M961"/>
    </row>
    <row r="962" spans="13:13" s="185" customFormat="1" x14ac:dyDescent="0.3">
      <c r="M962"/>
    </row>
    <row r="963" spans="13:13" s="185" customFormat="1" x14ac:dyDescent="0.3">
      <c r="M963"/>
    </row>
    <row r="964" spans="13:13" s="185" customFormat="1" x14ac:dyDescent="0.3">
      <c r="M964"/>
    </row>
    <row r="965" spans="13:13" s="185" customFormat="1" x14ac:dyDescent="0.3">
      <c r="M965"/>
    </row>
    <row r="966" spans="13:13" s="185" customFormat="1" x14ac:dyDescent="0.3">
      <c r="M966"/>
    </row>
    <row r="967" spans="13:13" s="185" customFormat="1" x14ac:dyDescent="0.3">
      <c r="M967"/>
    </row>
    <row r="968" spans="13:13" s="185" customFormat="1" x14ac:dyDescent="0.3">
      <c r="M968"/>
    </row>
    <row r="969" spans="13:13" s="185" customFormat="1" x14ac:dyDescent="0.3">
      <c r="M969"/>
    </row>
    <row r="970" spans="13:13" s="185" customFormat="1" x14ac:dyDescent="0.3">
      <c r="M970"/>
    </row>
    <row r="971" spans="13:13" s="185" customFormat="1" x14ac:dyDescent="0.3">
      <c r="M971"/>
    </row>
    <row r="972" spans="13:13" s="185" customFormat="1" x14ac:dyDescent="0.3">
      <c r="M972"/>
    </row>
    <row r="973" spans="13:13" s="185" customFormat="1" x14ac:dyDescent="0.3">
      <c r="M973"/>
    </row>
    <row r="974" spans="13:13" s="185" customFormat="1" x14ac:dyDescent="0.3">
      <c r="M974"/>
    </row>
    <row r="975" spans="13:13" s="185" customFormat="1" x14ac:dyDescent="0.3">
      <c r="M975"/>
    </row>
    <row r="976" spans="13:13" s="185" customFormat="1" x14ac:dyDescent="0.3">
      <c r="M976"/>
    </row>
    <row r="977" spans="13:13" s="185" customFormat="1" x14ac:dyDescent="0.3">
      <c r="M977"/>
    </row>
    <row r="978" spans="13:13" s="185" customFormat="1" x14ac:dyDescent="0.3">
      <c r="M978"/>
    </row>
    <row r="979" spans="13:13" s="185" customFormat="1" x14ac:dyDescent="0.3">
      <c r="M979"/>
    </row>
    <row r="980" spans="13:13" s="185" customFormat="1" x14ac:dyDescent="0.3">
      <c r="M980"/>
    </row>
    <row r="981" spans="13:13" s="185" customFormat="1" x14ac:dyDescent="0.3">
      <c r="M981"/>
    </row>
    <row r="982" spans="13:13" s="185" customFormat="1" x14ac:dyDescent="0.3">
      <c r="M982"/>
    </row>
    <row r="983" spans="13:13" s="185" customFormat="1" x14ac:dyDescent="0.3">
      <c r="M983"/>
    </row>
    <row r="984" spans="13:13" s="185" customFormat="1" x14ac:dyDescent="0.3">
      <c r="M984"/>
    </row>
    <row r="985" spans="13:13" s="185" customFormat="1" x14ac:dyDescent="0.3">
      <c r="M985"/>
    </row>
    <row r="986" spans="13:13" s="185" customFormat="1" x14ac:dyDescent="0.3">
      <c r="M986"/>
    </row>
    <row r="987" spans="13:13" s="185" customFormat="1" x14ac:dyDescent="0.3">
      <c r="M987"/>
    </row>
    <row r="988" spans="13:13" s="185" customFormat="1" x14ac:dyDescent="0.3">
      <c r="M988"/>
    </row>
    <row r="989" spans="13:13" s="185" customFormat="1" x14ac:dyDescent="0.3">
      <c r="M989"/>
    </row>
    <row r="990" spans="13:13" s="185" customFormat="1" x14ac:dyDescent="0.3">
      <c r="M990"/>
    </row>
    <row r="991" spans="13:13" s="185" customFormat="1" x14ac:dyDescent="0.3">
      <c r="M991"/>
    </row>
    <row r="992" spans="13:13" s="185" customFormat="1" x14ac:dyDescent="0.3">
      <c r="M992"/>
    </row>
    <row r="993" spans="13:13" s="185" customFormat="1" x14ac:dyDescent="0.3">
      <c r="M993"/>
    </row>
    <row r="994" spans="13:13" s="185" customFormat="1" x14ac:dyDescent="0.3">
      <c r="M994"/>
    </row>
    <row r="995" spans="13:13" s="185" customFormat="1" x14ac:dyDescent="0.3">
      <c r="M995"/>
    </row>
    <row r="996" spans="13:13" s="185" customFormat="1" x14ac:dyDescent="0.3">
      <c r="M996"/>
    </row>
    <row r="997" spans="13:13" s="185" customFormat="1" x14ac:dyDescent="0.3">
      <c r="M997"/>
    </row>
    <row r="998" spans="13:13" s="185" customFormat="1" x14ac:dyDescent="0.3">
      <c r="M998"/>
    </row>
    <row r="999" spans="13:13" s="185" customFormat="1" x14ac:dyDescent="0.3">
      <c r="M999"/>
    </row>
    <row r="1000" spans="13:13" s="185" customFormat="1" x14ac:dyDescent="0.3">
      <c r="M1000"/>
    </row>
    <row r="1001" spans="13:13" s="185" customFormat="1" x14ac:dyDescent="0.3">
      <c r="M1001"/>
    </row>
    <row r="1002" spans="13:13" s="185" customFormat="1" x14ac:dyDescent="0.3">
      <c r="M1002"/>
    </row>
    <row r="1003" spans="13:13" s="185" customFormat="1" x14ac:dyDescent="0.3">
      <c r="M1003"/>
    </row>
    <row r="1004" spans="13:13" s="185" customFormat="1" x14ac:dyDescent="0.3">
      <c r="M1004"/>
    </row>
    <row r="1005" spans="13:13" s="185" customFormat="1" x14ac:dyDescent="0.3">
      <c r="M1005"/>
    </row>
    <row r="1006" spans="13:13" s="185" customFormat="1" x14ac:dyDescent="0.3">
      <c r="M1006"/>
    </row>
    <row r="1007" spans="13:13" s="185" customFormat="1" x14ac:dyDescent="0.3">
      <c r="M1007"/>
    </row>
    <row r="1008" spans="13:13" s="185" customFormat="1" x14ac:dyDescent="0.3">
      <c r="M1008"/>
    </row>
    <row r="1009" spans="13:13" s="185" customFormat="1" x14ac:dyDescent="0.3">
      <c r="M1009"/>
    </row>
    <row r="1010" spans="13:13" s="185" customFormat="1" x14ac:dyDescent="0.3">
      <c r="M1010"/>
    </row>
    <row r="1011" spans="13:13" s="185" customFormat="1" x14ac:dyDescent="0.3">
      <c r="M1011"/>
    </row>
    <row r="1012" spans="13:13" s="185" customFormat="1" x14ac:dyDescent="0.3">
      <c r="M1012"/>
    </row>
    <row r="1013" spans="13:13" s="185" customFormat="1" x14ac:dyDescent="0.3">
      <c r="M1013"/>
    </row>
    <row r="1014" spans="13:13" s="185" customFormat="1" x14ac:dyDescent="0.3">
      <c r="M1014"/>
    </row>
    <row r="1015" spans="13:13" s="185" customFormat="1" x14ac:dyDescent="0.3">
      <c r="M1015"/>
    </row>
    <row r="1016" spans="13:13" s="185" customFormat="1" x14ac:dyDescent="0.3">
      <c r="M1016"/>
    </row>
    <row r="1017" spans="13:13" s="185" customFormat="1" x14ac:dyDescent="0.3">
      <c r="M1017"/>
    </row>
    <row r="1018" spans="13:13" s="185" customFormat="1" x14ac:dyDescent="0.3">
      <c r="M1018"/>
    </row>
    <row r="1019" spans="13:13" s="185" customFormat="1" x14ac:dyDescent="0.3">
      <c r="M1019"/>
    </row>
    <row r="1020" spans="13:13" s="185" customFormat="1" x14ac:dyDescent="0.3">
      <c r="M1020"/>
    </row>
    <row r="1021" spans="13:13" s="185" customFormat="1" x14ac:dyDescent="0.3">
      <c r="M1021"/>
    </row>
    <row r="1022" spans="13:13" s="185" customFormat="1" x14ac:dyDescent="0.3">
      <c r="M1022"/>
    </row>
    <row r="1023" spans="13:13" s="185" customFormat="1" x14ac:dyDescent="0.3">
      <c r="M1023"/>
    </row>
    <row r="1024" spans="13:13" s="185" customFormat="1" x14ac:dyDescent="0.3">
      <c r="M1024"/>
    </row>
    <row r="1025" spans="13:13" s="185" customFormat="1" x14ac:dyDescent="0.3">
      <c r="M1025"/>
    </row>
    <row r="1026" spans="13:13" s="185" customFormat="1" x14ac:dyDescent="0.3">
      <c r="M1026"/>
    </row>
    <row r="1027" spans="13:13" s="185" customFormat="1" x14ac:dyDescent="0.3">
      <c r="M1027"/>
    </row>
    <row r="1028" spans="13:13" s="185" customFormat="1" x14ac:dyDescent="0.3">
      <c r="M1028"/>
    </row>
    <row r="1029" spans="13:13" s="185" customFormat="1" x14ac:dyDescent="0.3">
      <c r="M1029"/>
    </row>
    <row r="1030" spans="13:13" s="185" customFormat="1" x14ac:dyDescent="0.3">
      <c r="M1030"/>
    </row>
    <row r="1031" spans="13:13" s="185" customFormat="1" x14ac:dyDescent="0.3">
      <c r="M1031"/>
    </row>
    <row r="1032" spans="13:13" s="185" customFormat="1" x14ac:dyDescent="0.3">
      <c r="M1032"/>
    </row>
    <row r="1033" spans="13:13" s="185" customFormat="1" x14ac:dyDescent="0.3">
      <c r="M1033"/>
    </row>
    <row r="1034" spans="13:13" s="185" customFormat="1" x14ac:dyDescent="0.3">
      <c r="M1034"/>
    </row>
    <row r="1035" spans="13:13" s="185" customFormat="1" x14ac:dyDescent="0.3">
      <c r="M1035"/>
    </row>
    <row r="1036" spans="13:13" s="185" customFormat="1" x14ac:dyDescent="0.3">
      <c r="M1036"/>
    </row>
    <row r="1037" spans="13:13" s="185" customFormat="1" x14ac:dyDescent="0.3">
      <c r="M1037"/>
    </row>
    <row r="1038" spans="13:13" s="185" customFormat="1" x14ac:dyDescent="0.3">
      <c r="M1038"/>
    </row>
    <row r="1039" spans="13:13" s="185" customFormat="1" x14ac:dyDescent="0.3">
      <c r="M1039"/>
    </row>
    <row r="1040" spans="13:13" s="185" customFormat="1" x14ac:dyDescent="0.3">
      <c r="M1040"/>
    </row>
    <row r="1041" spans="13:13" s="185" customFormat="1" x14ac:dyDescent="0.3">
      <c r="M1041"/>
    </row>
    <row r="1042" spans="13:13" s="185" customFormat="1" x14ac:dyDescent="0.3">
      <c r="M1042"/>
    </row>
    <row r="1043" spans="13:13" s="185" customFormat="1" x14ac:dyDescent="0.3">
      <c r="M1043"/>
    </row>
    <row r="1044" spans="13:13" s="185" customFormat="1" x14ac:dyDescent="0.3">
      <c r="M1044"/>
    </row>
    <row r="1045" spans="13:13" s="185" customFormat="1" x14ac:dyDescent="0.3">
      <c r="M1045"/>
    </row>
    <row r="1046" spans="13:13" s="185" customFormat="1" x14ac:dyDescent="0.3">
      <c r="M1046"/>
    </row>
    <row r="1047" spans="13:13" s="185" customFormat="1" x14ac:dyDescent="0.3">
      <c r="M1047"/>
    </row>
    <row r="1048" spans="13:13" s="185" customFormat="1" x14ac:dyDescent="0.3">
      <c r="M1048"/>
    </row>
    <row r="1049" spans="13:13" s="185" customFormat="1" x14ac:dyDescent="0.3">
      <c r="M1049"/>
    </row>
    <row r="1050" spans="13:13" s="185" customFormat="1" x14ac:dyDescent="0.3">
      <c r="M1050"/>
    </row>
    <row r="1051" spans="13:13" s="185" customFormat="1" x14ac:dyDescent="0.3">
      <c r="M1051"/>
    </row>
    <row r="1052" spans="13:13" s="185" customFormat="1" x14ac:dyDescent="0.3">
      <c r="M1052"/>
    </row>
    <row r="1053" spans="13:13" s="185" customFormat="1" x14ac:dyDescent="0.3">
      <c r="M1053"/>
    </row>
    <row r="1054" spans="13:13" s="185" customFormat="1" x14ac:dyDescent="0.3">
      <c r="M1054"/>
    </row>
    <row r="1055" spans="13:13" s="185" customFormat="1" x14ac:dyDescent="0.3">
      <c r="M1055"/>
    </row>
    <row r="1056" spans="13:13" s="185" customFormat="1" x14ac:dyDescent="0.3">
      <c r="M1056"/>
    </row>
    <row r="1057" spans="13:13" s="185" customFormat="1" x14ac:dyDescent="0.3">
      <c r="M1057"/>
    </row>
    <row r="1058" spans="13:13" s="185" customFormat="1" x14ac:dyDescent="0.3">
      <c r="M1058"/>
    </row>
    <row r="1059" spans="13:13" s="185" customFormat="1" x14ac:dyDescent="0.3">
      <c r="M1059"/>
    </row>
    <row r="1060" spans="13:13" s="185" customFormat="1" x14ac:dyDescent="0.3">
      <c r="M1060"/>
    </row>
    <row r="1061" spans="13:13" s="185" customFormat="1" x14ac:dyDescent="0.3">
      <c r="M1061"/>
    </row>
    <row r="1062" spans="13:13" s="185" customFormat="1" x14ac:dyDescent="0.3">
      <c r="M1062"/>
    </row>
    <row r="1063" spans="13:13" s="185" customFormat="1" x14ac:dyDescent="0.3">
      <c r="M1063"/>
    </row>
    <row r="1064" spans="13:13" s="185" customFormat="1" x14ac:dyDescent="0.3">
      <c r="M1064"/>
    </row>
    <row r="1065" spans="13:13" s="185" customFormat="1" x14ac:dyDescent="0.3">
      <c r="M1065"/>
    </row>
    <row r="1066" spans="13:13" s="185" customFormat="1" x14ac:dyDescent="0.3">
      <c r="M1066"/>
    </row>
    <row r="1067" spans="13:13" s="185" customFormat="1" x14ac:dyDescent="0.3">
      <c r="M1067"/>
    </row>
    <row r="1068" spans="13:13" s="185" customFormat="1" x14ac:dyDescent="0.3">
      <c r="M1068"/>
    </row>
    <row r="1069" spans="13:13" s="185" customFormat="1" x14ac:dyDescent="0.3">
      <c r="M1069"/>
    </row>
    <row r="1070" spans="13:13" s="185" customFormat="1" x14ac:dyDescent="0.3">
      <c r="M1070"/>
    </row>
    <row r="1071" spans="13:13" s="185" customFormat="1" x14ac:dyDescent="0.3">
      <c r="M1071"/>
    </row>
    <row r="1072" spans="13:13" s="185" customFormat="1" x14ac:dyDescent="0.3">
      <c r="M1072"/>
    </row>
    <row r="1073" spans="13:13" s="185" customFormat="1" x14ac:dyDescent="0.3">
      <c r="M1073"/>
    </row>
    <row r="1074" spans="13:13" s="185" customFormat="1" x14ac:dyDescent="0.3">
      <c r="M1074"/>
    </row>
    <row r="1075" spans="13:13" s="185" customFormat="1" x14ac:dyDescent="0.3">
      <c r="M1075"/>
    </row>
    <row r="1076" spans="13:13" s="185" customFormat="1" x14ac:dyDescent="0.3">
      <c r="M1076"/>
    </row>
    <row r="1077" spans="13:13" s="185" customFormat="1" x14ac:dyDescent="0.3">
      <c r="M1077"/>
    </row>
    <row r="1078" spans="13:13" s="185" customFormat="1" x14ac:dyDescent="0.3">
      <c r="M1078"/>
    </row>
    <row r="1079" spans="13:13" s="185" customFormat="1" x14ac:dyDescent="0.3">
      <c r="M1079"/>
    </row>
    <row r="1080" spans="13:13" s="185" customFormat="1" x14ac:dyDescent="0.3">
      <c r="M1080"/>
    </row>
    <row r="1081" spans="13:13" s="185" customFormat="1" x14ac:dyDescent="0.3">
      <c r="M1081"/>
    </row>
    <row r="1082" spans="13:13" s="185" customFormat="1" x14ac:dyDescent="0.3">
      <c r="M1082"/>
    </row>
    <row r="1083" spans="13:13" s="185" customFormat="1" x14ac:dyDescent="0.3">
      <c r="M1083"/>
    </row>
    <row r="1084" spans="13:13" s="185" customFormat="1" x14ac:dyDescent="0.3">
      <c r="M1084"/>
    </row>
    <row r="1085" spans="13:13" s="185" customFormat="1" x14ac:dyDescent="0.3">
      <c r="M1085"/>
    </row>
    <row r="1086" spans="13:13" s="185" customFormat="1" x14ac:dyDescent="0.3">
      <c r="M1086"/>
    </row>
    <row r="1087" spans="13:13" s="185" customFormat="1" x14ac:dyDescent="0.3">
      <c r="M1087"/>
    </row>
    <row r="1088" spans="13:13" s="185" customFormat="1" x14ac:dyDescent="0.3">
      <c r="M1088"/>
    </row>
    <row r="1089" spans="13:13" s="185" customFormat="1" x14ac:dyDescent="0.3">
      <c r="M1089"/>
    </row>
    <row r="1090" spans="13:13" s="185" customFormat="1" x14ac:dyDescent="0.3">
      <c r="M1090"/>
    </row>
    <row r="1091" spans="13:13" s="185" customFormat="1" x14ac:dyDescent="0.3">
      <c r="M1091"/>
    </row>
    <row r="1092" spans="13:13" s="185" customFormat="1" x14ac:dyDescent="0.3">
      <c r="M1092"/>
    </row>
    <row r="1093" spans="13:13" s="185" customFormat="1" x14ac:dyDescent="0.3">
      <c r="M1093"/>
    </row>
    <row r="1094" spans="13:13" s="185" customFormat="1" x14ac:dyDescent="0.3">
      <c r="M1094"/>
    </row>
    <row r="1095" spans="13:13" s="185" customFormat="1" x14ac:dyDescent="0.3">
      <c r="M1095"/>
    </row>
    <row r="1096" spans="13:13" s="185" customFormat="1" x14ac:dyDescent="0.3">
      <c r="M1096"/>
    </row>
    <row r="1097" spans="13:13" s="185" customFormat="1" x14ac:dyDescent="0.3">
      <c r="M1097"/>
    </row>
    <row r="1098" spans="13:13" s="185" customFormat="1" x14ac:dyDescent="0.3">
      <c r="M1098"/>
    </row>
    <row r="1099" spans="13:13" s="185" customFormat="1" x14ac:dyDescent="0.3">
      <c r="M1099"/>
    </row>
    <row r="1100" spans="13:13" s="185" customFormat="1" x14ac:dyDescent="0.3">
      <c r="M1100"/>
    </row>
    <row r="1101" spans="13:13" s="185" customFormat="1" x14ac:dyDescent="0.3">
      <c r="M1101"/>
    </row>
    <row r="1102" spans="13:13" s="185" customFormat="1" x14ac:dyDescent="0.3">
      <c r="M1102"/>
    </row>
    <row r="1103" spans="13:13" s="185" customFormat="1" x14ac:dyDescent="0.3">
      <c r="M1103"/>
    </row>
    <row r="1104" spans="13:13" s="185" customFormat="1" x14ac:dyDescent="0.3">
      <c r="M1104"/>
    </row>
    <row r="1105" spans="13:13" s="185" customFormat="1" x14ac:dyDescent="0.3">
      <c r="M1105"/>
    </row>
    <row r="1106" spans="13:13" s="185" customFormat="1" x14ac:dyDescent="0.3">
      <c r="M1106"/>
    </row>
    <row r="1107" spans="13:13" s="185" customFormat="1" x14ac:dyDescent="0.3">
      <c r="M1107"/>
    </row>
    <row r="1108" spans="13:13" s="185" customFormat="1" x14ac:dyDescent="0.3">
      <c r="M1108"/>
    </row>
    <row r="1109" spans="13:13" s="185" customFormat="1" x14ac:dyDescent="0.3">
      <c r="M1109"/>
    </row>
    <row r="1110" spans="13:13" s="185" customFormat="1" x14ac:dyDescent="0.3">
      <c r="M1110"/>
    </row>
    <row r="1111" spans="13:13" s="185" customFormat="1" x14ac:dyDescent="0.3">
      <c r="M1111"/>
    </row>
    <row r="1112" spans="13:13" s="185" customFormat="1" x14ac:dyDescent="0.3">
      <c r="M1112"/>
    </row>
    <row r="1113" spans="13:13" s="185" customFormat="1" x14ac:dyDescent="0.3">
      <c r="M1113"/>
    </row>
    <row r="1114" spans="13:13" s="185" customFormat="1" x14ac:dyDescent="0.3">
      <c r="M1114"/>
    </row>
    <row r="1115" spans="13:13" s="185" customFormat="1" x14ac:dyDescent="0.3">
      <c r="M1115"/>
    </row>
    <row r="1116" spans="13:13" s="185" customFormat="1" x14ac:dyDescent="0.3">
      <c r="M1116"/>
    </row>
    <row r="1117" spans="13:13" s="185" customFormat="1" x14ac:dyDescent="0.3">
      <c r="M1117"/>
    </row>
    <row r="1118" spans="13:13" s="185" customFormat="1" x14ac:dyDescent="0.3">
      <c r="M1118"/>
    </row>
    <row r="1119" spans="13:13" s="185" customFormat="1" x14ac:dyDescent="0.3">
      <c r="M1119"/>
    </row>
    <row r="1120" spans="13:13" s="185" customFormat="1" x14ac:dyDescent="0.3">
      <c r="M1120"/>
    </row>
    <row r="1121" spans="13:13" s="185" customFormat="1" x14ac:dyDescent="0.3">
      <c r="M1121"/>
    </row>
    <row r="1122" spans="13:13" s="185" customFormat="1" x14ac:dyDescent="0.3">
      <c r="M1122"/>
    </row>
    <row r="1123" spans="13:13" s="185" customFormat="1" x14ac:dyDescent="0.3">
      <c r="M1123"/>
    </row>
    <row r="1124" spans="13:13" s="185" customFormat="1" x14ac:dyDescent="0.3">
      <c r="M1124"/>
    </row>
    <row r="1125" spans="13:13" s="185" customFormat="1" x14ac:dyDescent="0.3">
      <c r="M1125"/>
    </row>
    <row r="1126" spans="13:13" s="185" customFormat="1" x14ac:dyDescent="0.3">
      <c r="M1126"/>
    </row>
    <row r="1127" spans="13:13" s="185" customFormat="1" x14ac:dyDescent="0.3">
      <c r="M1127"/>
    </row>
    <row r="1128" spans="13:13" s="185" customFormat="1" x14ac:dyDescent="0.3">
      <c r="M1128"/>
    </row>
    <row r="1129" spans="13:13" s="185" customFormat="1" x14ac:dyDescent="0.3">
      <c r="M1129"/>
    </row>
    <row r="1130" spans="13:13" s="185" customFormat="1" x14ac:dyDescent="0.3">
      <c r="M1130"/>
    </row>
    <row r="1131" spans="13:13" s="185" customFormat="1" x14ac:dyDescent="0.3">
      <c r="M1131"/>
    </row>
    <row r="1132" spans="13:13" s="185" customFormat="1" x14ac:dyDescent="0.3">
      <c r="M1132"/>
    </row>
    <row r="1133" spans="13:13" s="185" customFormat="1" x14ac:dyDescent="0.3">
      <c r="M1133"/>
    </row>
    <row r="1134" spans="13:13" s="185" customFormat="1" x14ac:dyDescent="0.3">
      <c r="M1134"/>
    </row>
    <row r="1135" spans="13:13" s="185" customFormat="1" x14ac:dyDescent="0.3">
      <c r="M1135"/>
    </row>
    <row r="1136" spans="13:13" s="185" customFormat="1" x14ac:dyDescent="0.3">
      <c r="M1136"/>
    </row>
    <row r="1137" spans="13:13" s="185" customFormat="1" x14ac:dyDescent="0.3">
      <c r="M1137"/>
    </row>
    <row r="1138" spans="13:13" s="185" customFormat="1" x14ac:dyDescent="0.3">
      <c r="M1138"/>
    </row>
    <row r="1139" spans="13:13" s="185" customFormat="1" x14ac:dyDescent="0.3">
      <c r="M1139"/>
    </row>
    <row r="1140" spans="13:13" s="185" customFormat="1" x14ac:dyDescent="0.3">
      <c r="M1140"/>
    </row>
    <row r="1141" spans="13:13" s="185" customFormat="1" x14ac:dyDescent="0.3">
      <c r="M1141"/>
    </row>
    <row r="1142" spans="13:13" s="185" customFormat="1" x14ac:dyDescent="0.3">
      <c r="M1142"/>
    </row>
    <row r="1143" spans="13:13" s="185" customFormat="1" x14ac:dyDescent="0.3">
      <c r="M1143"/>
    </row>
    <row r="1144" spans="13:13" s="185" customFormat="1" x14ac:dyDescent="0.3">
      <c r="M1144"/>
    </row>
    <row r="1145" spans="13:13" s="185" customFormat="1" x14ac:dyDescent="0.3">
      <c r="M1145"/>
    </row>
    <row r="1146" spans="13:13" s="185" customFormat="1" x14ac:dyDescent="0.3">
      <c r="M1146"/>
    </row>
    <row r="1147" spans="13:13" s="185" customFormat="1" x14ac:dyDescent="0.3">
      <c r="M1147"/>
    </row>
    <row r="1148" spans="13:13" s="185" customFormat="1" x14ac:dyDescent="0.3">
      <c r="M1148"/>
    </row>
    <row r="1149" spans="13:13" s="185" customFormat="1" x14ac:dyDescent="0.3">
      <c r="M1149"/>
    </row>
    <row r="1150" spans="13:13" s="185" customFormat="1" x14ac:dyDescent="0.3">
      <c r="M1150"/>
    </row>
    <row r="1151" spans="13:13" s="185" customFormat="1" x14ac:dyDescent="0.3">
      <c r="M1151"/>
    </row>
    <row r="1152" spans="13:13" s="185" customFormat="1" x14ac:dyDescent="0.3">
      <c r="M1152"/>
    </row>
    <row r="1153" spans="13:13" s="185" customFormat="1" x14ac:dyDescent="0.3">
      <c r="M1153"/>
    </row>
    <row r="1154" spans="13:13" s="185" customFormat="1" x14ac:dyDescent="0.3">
      <c r="M1154"/>
    </row>
    <row r="1155" spans="13:13" s="185" customFormat="1" x14ac:dyDescent="0.3">
      <c r="M1155"/>
    </row>
    <row r="1156" spans="13:13" s="185" customFormat="1" x14ac:dyDescent="0.3">
      <c r="M1156"/>
    </row>
    <row r="1157" spans="13:13" s="185" customFormat="1" x14ac:dyDescent="0.3">
      <c r="M1157"/>
    </row>
    <row r="1158" spans="13:13" s="185" customFormat="1" x14ac:dyDescent="0.3">
      <c r="M1158"/>
    </row>
    <row r="1159" spans="13:13" s="185" customFormat="1" x14ac:dyDescent="0.3">
      <c r="M1159"/>
    </row>
    <row r="1160" spans="13:13" s="185" customFormat="1" x14ac:dyDescent="0.3">
      <c r="M1160"/>
    </row>
    <row r="1161" spans="13:13" s="185" customFormat="1" x14ac:dyDescent="0.3">
      <c r="M1161"/>
    </row>
    <row r="1162" spans="13:13" s="185" customFormat="1" x14ac:dyDescent="0.3">
      <c r="M1162"/>
    </row>
    <row r="1163" spans="13:13" s="185" customFormat="1" x14ac:dyDescent="0.3">
      <c r="M1163"/>
    </row>
    <row r="1164" spans="13:13" s="185" customFormat="1" x14ac:dyDescent="0.3">
      <c r="M1164"/>
    </row>
    <row r="1165" spans="13:13" s="185" customFormat="1" x14ac:dyDescent="0.3">
      <c r="M1165"/>
    </row>
    <row r="1166" spans="13:13" s="185" customFormat="1" x14ac:dyDescent="0.3">
      <c r="M1166"/>
    </row>
    <row r="1167" spans="13:13" s="185" customFormat="1" x14ac:dyDescent="0.3">
      <c r="M1167"/>
    </row>
    <row r="1168" spans="13:13" s="185" customFormat="1" x14ac:dyDescent="0.3">
      <c r="M1168"/>
    </row>
    <row r="1169" spans="13:13" s="185" customFormat="1" x14ac:dyDescent="0.3">
      <c r="M1169"/>
    </row>
    <row r="1170" spans="13:13" s="185" customFormat="1" x14ac:dyDescent="0.3">
      <c r="M1170"/>
    </row>
    <row r="1171" spans="13:13" s="185" customFormat="1" x14ac:dyDescent="0.3">
      <c r="M1171"/>
    </row>
    <row r="1172" spans="13:13" s="185" customFormat="1" x14ac:dyDescent="0.3">
      <c r="M1172"/>
    </row>
    <row r="1173" spans="13:13" s="185" customFormat="1" x14ac:dyDescent="0.3">
      <c r="M1173"/>
    </row>
    <row r="1174" spans="13:13" s="185" customFormat="1" x14ac:dyDescent="0.3">
      <c r="M1174"/>
    </row>
    <row r="1175" spans="13:13" s="185" customFormat="1" x14ac:dyDescent="0.3">
      <c r="M1175"/>
    </row>
    <row r="1176" spans="13:13" s="185" customFormat="1" x14ac:dyDescent="0.3">
      <c r="M1176"/>
    </row>
    <row r="1177" spans="13:13" s="185" customFormat="1" x14ac:dyDescent="0.3">
      <c r="M1177"/>
    </row>
    <row r="1178" spans="13:13" s="185" customFormat="1" x14ac:dyDescent="0.3">
      <c r="M1178"/>
    </row>
    <row r="1179" spans="13:13" s="185" customFormat="1" x14ac:dyDescent="0.3">
      <c r="M1179"/>
    </row>
    <row r="1180" spans="13:13" s="185" customFormat="1" x14ac:dyDescent="0.3">
      <c r="M1180"/>
    </row>
    <row r="1181" spans="13:13" s="185" customFormat="1" x14ac:dyDescent="0.3">
      <c r="M1181"/>
    </row>
    <row r="1182" spans="13:13" s="185" customFormat="1" x14ac:dyDescent="0.3">
      <c r="M1182"/>
    </row>
    <row r="1183" spans="13:13" s="185" customFormat="1" x14ac:dyDescent="0.3">
      <c r="M1183"/>
    </row>
    <row r="1184" spans="13:13" s="185" customFormat="1" x14ac:dyDescent="0.3">
      <c r="M1184"/>
    </row>
    <row r="1185" spans="13:13" s="185" customFormat="1" x14ac:dyDescent="0.3">
      <c r="M1185"/>
    </row>
    <row r="1186" spans="13:13" s="185" customFormat="1" x14ac:dyDescent="0.3">
      <c r="M1186"/>
    </row>
    <row r="1187" spans="13:13" s="185" customFormat="1" x14ac:dyDescent="0.3">
      <c r="M1187"/>
    </row>
    <row r="1188" spans="13:13" s="185" customFormat="1" x14ac:dyDescent="0.3">
      <c r="M1188"/>
    </row>
    <row r="1189" spans="13:13" s="185" customFormat="1" x14ac:dyDescent="0.3">
      <c r="M1189"/>
    </row>
    <row r="1190" spans="13:13" s="185" customFormat="1" x14ac:dyDescent="0.3">
      <c r="M1190"/>
    </row>
    <row r="1191" spans="13:13" s="185" customFormat="1" x14ac:dyDescent="0.3">
      <c r="M1191"/>
    </row>
    <row r="1192" spans="13:13" s="185" customFormat="1" x14ac:dyDescent="0.3">
      <c r="M1192"/>
    </row>
    <row r="1193" spans="13:13" s="185" customFormat="1" x14ac:dyDescent="0.3">
      <c r="M1193"/>
    </row>
    <row r="1194" spans="13:13" s="185" customFormat="1" x14ac:dyDescent="0.3">
      <c r="M1194"/>
    </row>
    <row r="1195" spans="13:13" s="185" customFormat="1" x14ac:dyDescent="0.3">
      <c r="M1195"/>
    </row>
    <row r="1196" spans="13:13" s="185" customFormat="1" x14ac:dyDescent="0.3">
      <c r="M1196"/>
    </row>
    <row r="1197" spans="13:13" s="185" customFormat="1" x14ac:dyDescent="0.3">
      <c r="M1197"/>
    </row>
    <row r="1198" spans="13:13" s="185" customFormat="1" x14ac:dyDescent="0.3">
      <c r="M1198"/>
    </row>
    <row r="1199" spans="13:13" s="185" customFormat="1" x14ac:dyDescent="0.3">
      <c r="M1199"/>
    </row>
    <row r="1200" spans="13:13" s="185" customFormat="1" x14ac:dyDescent="0.3">
      <c r="M1200"/>
    </row>
    <row r="1201" spans="13:13" s="185" customFormat="1" x14ac:dyDescent="0.3">
      <c r="M1201"/>
    </row>
    <row r="1202" spans="13:13" s="185" customFormat="1" x14ac:dyDescent="0.3">
      <c r="M1202"/>
    </row>
    <row r="1203" spans="13:13" s="185" customFormat="1" x14ac:dyDescent="0.3">
      <c r="M1203"/>
    </row>
    <row r="1204" spans="13:13" s="185" customFormat="1" x14ac:dyDescent="0.3">
      <c r="M1204"/>
    </row>
    <row r="1205" spans="13:13" s="185" customFormat="1" x14ac:dyDescent="0.3">
      <c r="M1205"/>
    </row>
    <row r="1206" spans="13:13" s="185" customFormat="1" x14ac:dyDescent="0.3">
      <c r="M1206"/>
    </row>
    <row r="1207" spans="13:13" s="185" customFormat="1" x14ac:dyDescent="0.3">
      <c r="M1207"/>
    </row>
    <row r="1208" spans="13:13" s="185" customFormat="1" x14ac:dyDescent="0.3">
      <c r="M1208"/>
    </row>
    <row r="1209" spans="13:13" s="185" customFormat="1" x14ac:dyDescent="0.3">
      <c r="M1209"/>
    </row>
    <row r="1210" spans="13:13" s="185" customFormat="1" x14ac:dyDescent="0.3">
      <c r="M1210"/>
    </row>
    <row r="1211" spans="13:13" s="185" customFormat="1" x14ac:dyDescent="0.3">
      <c r="M1211"/>
    </row>
    <row r="1212" spans="13:13" s="185" customFormat="1" x14ac:dyDescent="0.3">
      <c r="M1212"/>
    </row>
    <row r="1213" spans="13:13" s="185" customFormat="1" x14ac:dyDescent="0.3">
      <c r="M1213"/>
    </row>
    <row r="1214" spans="13:13" s="185" customFormat="1" x14ac:dyDescent="0.3">
      <c r="M1214"/>
    </row>
    <row r="1215" spans="13:13" s="185" customFormat="1" x14ac:dyDescent="0.3">
      <c r="M1215"/>
    </row>
    <row r="1216" spans="13:13" s="185" customFormat="1" x14ac:dyDescent="0.3">
      <c r="M1216"/>
    </row>
    <row r="1217" spans="13:13" s="185" customFormat="1" x14ac:dyDescent="0.3">
      <c r="M1217"/>
    </row>
    <row r="1218" spans="13:13" s="185" customFormat="1" x14ac:dyDescent="0.3">
      <c r="M1218"/>
    </row>
    <row r="1219" spans="13:13" s="185" customFormat="1" x14ac:dyDescent="0.3">
      <c r="M1219"/>
    </row>
    <row r="1220" spans="13:13" s="185" customFormat="1" x14ac:dyDescent="0.3">
      <c r="M1220"/>
    </row>
    <row r="1221" spans="13:13" s="185" customFormat="1" x14ac:dyDescent="0.3">
      <c r="M1221"/>
    </row>
    <row r="1222" spans="13:13" s="185" customFormat="1" x14ac:dyDescent="0.3">
      <c r="M1222"/>
    </row>
    <row r="1223" spans="13:13" s="185" customFormat="1" x14ac:dyDescent="0.3">
      <c r="M1223"/>
    </row>
    <row r="1224" spans="13:13" s="185" customFormat="1" x14ac:dyDescent="0.3">
      <c r="M1224"/>
    </row>
    <row r="1225" spans="13:13" s="185" customFormat="1" x14ac:dyDescent="0.3">
      <c r="M1225"/>
    </row>
    <row r="1226" spans="13:13" s="185" customFormat="1" x14ac:dyDescent="0.3">
      <c r="M1226"/>
    </row>
    <row r="1227" spans="13:13" s="185" customFormat="1" x14ac:dyDescent="0.3">
      <c r="M1227"/>
    </row>
    <row r="1228" spans="13:13" s="185" customFormat="1" x14ac:dyDescent="0.3">
      <c r="M1228"/>
    </row>
    <row r="1229" spans="13:13" s="185" customFormat="1" x14ac:dyDescent="0.3">
      <c r="M1229"/>
    </row>
    <row r="1230" spans="13:13" s="185" customFormat="1" x14ac:dyDescent="0.3">
      <c r="M1230"/>
    </row>
    <row r="1231" spans="13:13" s="185" customFormat="1" x14ac:dyDescent="0.3">
      <c r="M1231"/>
    </row>
    <row r="1232" spans="13:13" s="185" customFormat="1" x14ac:dyDescent="0.3">
      <c r="M1232"/>
    </row>
    <row r="1233" spans="13:13" s="185" customFormat="1" x14ac:dyDescent="0.3">
      <c r="M1233"/>
    </row>
    <row r="1234" spans="13:13" s="185" customFormat="1" x14ac:dyDescent="0.3">
      <c r="M1234"/>
    </row>
    <row r="1235" spans="13:13" s="185" customFormat="1" x14ac:dyDescent="0.3">
      <c r="M1235"/>
    </row>
    <row r="1236" spans="13:13" s="185" customFormat="1" x14ac:dyDescent="0.3">
      <c r="M1236"/>
    </row>
    <row r="1237" spans="13:13" s="185" customFormat="1" x14ac:dyDescent="0.3">
      <c r="M1237"/>
    </row>
    <row r="1238" spans="13:13" s="185" customFormat="1" x14ac:dyDescent="0.3">
      <c r="M1238"/>
    </row>
    <row r="1239" spans="13:13" s="185" customFormat="1" x14ac:dyDescent="0.3">
      <c r="M1239"/>
    </row>
    <row r="1240" spans="13:13" s="185" customFormat="1" x14ac:dyDescent="0.3">
      <c r="M1240"/>
    </row>
    <row r="1241" spans="13:13" s="185" customFormat="1" x14ac:dyDescent="0.3">
      <c r="M1241"/>
    </row>
    <row r="1242" spans="13:13" s="185" customFormat="1" x14ac:dyDescent="0.3">
      <c r="M1242"/>
    </row>
    <row r="1243" spans="13:13" s="185" customFormat="1" x14ac:dyDescent="0.3">
      <c r="M1243"/>
    </row>
    <row r="1244" spans="13:13" s="185" customFormat="1" x14ac:dyDescent="0.3">
      <c r="M1244"/>
    </row>
    <row r="1245" spans="13:13" s="185" customFormat="1" x14ac:dyDescent="0.3">
      <c r="M1245"/>
    </row>
    <row r="1246" spans="13:13" s="185" customFormat="1" x14ac:dyDescent="0.3">
      <c r="M1246"/>
    </row>
    <row r="1247" spans="13:13" s="185" customFormat="1" x14ac:dyDescent="0.3">
      <c r="M1247"/>
    </row>
    <row r="1248" spans="13:13" s="185" customFormat="1" x14ac:dyDescent="0.3">
      <c r="M1248"/>
    </row>
    <row r="1249" spans="13:13" s="185" customFormat="1" x14ac:dyDescent="0.3">
      <c r="M1249"/>
    </row>
    <row r="1250" spans="13:13" s="185" customFormat="1" x14ac:dyDescent="0.3">
      <c r="M1250"/>
    </row>
    <row r="1251" spans="13:13" s="185" customFormat="1" x14ac:dyDescent="0.3">
      <c r="M1251"/>
    </row>
    <row r="1252" spans="13:13" s="185" customFormat="1" x14ac:dyDescent="0.3">
      <c r="M1252"/>
    </row>
    <row r="1253" spans="13:13" s="185" customFormat="1" x14ac:dyDescent="0.3">
      <c r="M1253"/>
    </row>
    <row r="1254" spans="13:13" s="185" customFormat="1" x14ac:dyDescent="0.3">
      <c r="M1254"/>
    </row>
    <row r="1255" spans="13:13" s="185" customFormat="1" x14ac:dyDescent="0.3">
      <c r="M1255"/>
    </row>
    <row r="1256" spans="13:13" s="185" customFormat="1" x14ac:dyDescent="0.3">
      <c r="M1256"/>
    </row>
    <row r="1257" spans="13:13" s="185" customFormat="1" x14ac:dyDescent="0.3">
      <c r="M1257"/>
    </row>
    <row r="1258" spans="13:13" s="185" customFormat="1" x14ac:dyDescent="0.3">
      <c r="M1258"/>
    </row>
    <row r="1259" spans="13:13" s="185" customFormat="1" x14ac:dyDescent="0.3">
      <c r="M1259"/>
    </row>
    <row r="1260" spans="13:13" s="185" customFormat="1" x14ac:dyDescent="0.3">
      <c r="M1260"/>
    </row>
    <row r="1261" spans="13:13" s="185" customFormat="1" x14ac:dyDescent="0.3">
      <c r="M1261"/>
    </row>
    <row r="1262" spans="13:13" s="185" customFormat="1" x14ac:dyDescent="0.3">
      <c r="M1262"/>
    </row>
    <row r="1263" spans="13:13" s="185" customFormat="1" x14ac:dyDescent="0.3">
      <c r="M1263"/>
    </row>
    <row r="1264" spans="13:13" s="185" customFormat="1" x14ac:dyDescent="0.3">
      <c r="M1264"/>
    </row>
    <row r="1265" spans="13:13" s="185" customFormat="1" x14ac:dyDescent="0.3">
      <c r="M1265"/>
    </row>
    <row r="1266" spans="13:13" s="185" customFormat="1" x14ac:dyDescent="0.3">
      <c r="M1266"/>
    </row>
    <row r="1267" spans="13:13" s="185" customFormat="1" x14ac:dyDescent="0.3">
      <c r="M1267"/>
    </row>
    <row r="1268" spans="13:13" s="185" customFormat="1" x14ac:dyDescent="0.3">
      <c r="M1268"/>
    </row>
    <row r="1269" spans="13:13" s="185" customFormat="1" x14ac:dyDescent="0.3">
      <c r="M1269"/>
    </row>
    <row r="1270" spans="13:13" s="185" customFormat="1" x14ac:dyDescent="0.3">
      <c r="M1270"/>
    </row>
    <row r="1271" spans="13:13" s="185" customFormat="1" x14ac:dyDescent="0.3">
      <c r="M1271"/>
    </row>
    <row r="1272" spans="13:13" s="185" customFormat="1" x14ac:dyDescent="0.3">
      <c r="M1272"/>
    </row>
    <row r="1273" spans="13:13" s="185" customFormat="1" x14ac:dyDescent="0.3">
      <c r="M1273"/>
    </row>
    <row r="1274" spans="13:13" s="185" customFormat="1" x14ac:dyDescent="0.3">
      <c r="M1274"/>
    </row>
    <row r="1275" spans="13:13" s="185" customFormat="1" x14ac:dyDescent="0.3">
      <c r="M1275"/>
    </row>
    <row r="1276" spans="13:13" s="185" customFormat="1" x14ac:dyDescent="0.3">
      <c r="M1276"/>
    </row>
    <row r="1277" spans="13:13" s="185" customFormat="1" x14ac:dyDescent="0.3">
      <c r="M1277"/>
    </row>
    <row r="1278" spans="13:13" s="185" customFormat="1" x14ac:dyDescent="0.3">
      <c r="M1278"/>
    </row>
    <row r="1279" spans="13:13" s="185" customFormat="1" x14ac:dyDescent="0.3">
      <c r="M1279"/>
    </row>
    <row r="1280" spans="13:13" s="185" customFormat="1" x14ac:dyDescent="0.3">
      <c r="M1280"/>
    </row>
    <row r="1281" spans="13:13" s="185" customFormat="1" x14ac:dyDescent="0.3">
      <c r="M1281"/>
    </row>
    <row r="1282" spans="13:13" s="185" customFormat="1" x14ac:dyDescent="0.3">
      <c r="M1282"/>
    </row>
    <row r="1283" spans="13:13" s="185" customFormat="1" x14ac:dyDescent="0.3">
      <c r="M1283"/>
    </row>
    <row r="1284" spans="13:13" s="185" customFormat="1" x14ac:dyDescent="0.3">
      <c r="M1284"/>
    </row>
    <row r="1285" spans="13:13" s="185" customFormat="1" x14ac:dyDescent="0.3">
      <c r="M1285"/>
    </row>
    <row r="1286" spans="13:13" s="185" customFormat="1" x14ac:dyDescent="0.3">
      <c r="M1286"/>
    </row>
    <row r="1287" spans="13:13" s="185" customFormat="1" x14ac:dyDescent="0.3">
      <c r="M1287"/>
    </row>
    <row r="1288" spans="13:13" s="185" customFormat="1" x14ac:dyDescent="0.3">
      <c r="M1288"/>
    </row>
    <row r="1289" spans="13:13" s="185" customFormat="1" x14ac:dyDescent="0.3">
      <c r="M1289"/>
    </row>
    <row r="1290" spans="13:13" s="185" customFormat="1" x14ac:dyDescent="0.3">
      <c r="M1290"/>
    </row>
    <row r="1291" spans="13:13" s="185" customFormat="1" x14ac:dyDescent="0.3">
      <c r="M1291"/>
    </row>
    <row r="1292" spans="13:13" s="185" customFormat="1" x14ac:dyDescent="0.3">
      <c r="M1292"/>
    </row>
    <row r="1293" spans="13:13" s="185" customFormat="1" x14ac:dyDescent="0.3">
      <c r="M1293"/>
    </row>
    <row r="1294" spans="13:13" s="185" customFormat="1" x14ac:dyDescent="0.3">
      <c r="M1294"/>
    </row>
    <row r="1295" spans="13:13" s="185" customFormat="1" x14ac:dyDescent="0.3">
      <c r="M1295"/>
    </row>
    <row r="1296" spans="13:13" s="185" customFormat="1" x14ac:dyDescent="0.3">
      <c r="M1296"/>
    </row>
    <row r="1297" spans="13:13" s="185" customFormat="1" x14ac:dyDescent="0.3">
      <c r="M1297"/>
    </row>
    <row r="1298" spans="13:13" s="185" customFormat="1" x14ac:dyDescent="0.3">
      <c r="M1298"/>
    </row>
    <row r="1299" spans="13:13" s="185" customFormat="1" x14ac:dyDescent="0.3">
      <c r="M1299"/>
    </row>
    <row r="1300" spans="13:13" s="185" customFormat="1" x14ac:dyDescent="0.3">
      <c r="M1300"/>
    </row>
    <row r="1301" spans="13:13" s="185" customFormat="1" x14ac:dyDescent="0.3">
      <c r="M1301"/>
    </row>
    <row r="1302" spans="13:13" s="185" customFormat="1" x14ac:dyDescent="0.3">
      <c r="M1302"/>
    </row>
    <row r="1303" spans="13:13" s="185" customFormat="1" x14ac:dyDescent="0.3">
      <c r="M1303"/>
    </row>
    <row r="1304" spans="13:13" s="185" customFormat="1" x14ac:dyDescent="0.3">
      <c r="M1304"/>
    </row>
    <row r="1305" spans="13:13" s="185" customFormat="1" x14ac:dyDescent="0.3">
      <c r="M1305"/>
    </row>
    <row r="1306" spans="13:13" s="185" customFormat="1" x14ac:dyDescent="0.3">
      <c r="M1306"/>
    </row>
    <row r="1307" spans="13:13" s="185" customFormat="1" x14ac:dyDescent="0.3">
      <c r="M1307"/>
    </row>
    <row r="1308" spans="13:13" s="185" customFormat="1" x14ac:dyDescent="0.3">
      <c r="M1308"/>
    </row>
    <row r="1309" spans="13:13" s="185" customFormat="1" x14ac:dyDescent="0.3">
      <c r="M1309"/>
    </row>
    <row r="1310" spans="13:13" s="185" customFormat="1" x14ac:dyDescent="0.3">
      <c r="M1310"/>
    </row>
    <row r="1311" spans="13:13" s="185" customFormat="1" x14ac:dyDescent="0.3">
      <c r="M1311"/>
    </row>
    <row r="1312" spans="13:13" s="185" customFormat="1" x14ac:dyDescent="0.3">
      <c r="M1312"/>
    </row>
    <row r="1313" spans="13:13" s="185" customFormat="1" x14ac:dyDescent="0.3">
      <c r="M1313"/>
    </row>
    <row r="1314" spans="13:13" s="185" customFormat="1" x14ac:dyDescent="0.3">
      <c r="M1314"/>
    </row>
    <row r="1315" spans="13:13" s="185" customFormat="1" x14ac:dyDescent="0.3">
      <c r="M1315"/>
    </row>
    <row r="1316" spans="13:13" s="185" customFormat="1" x14ac:dyDescent="0.3">
      <c r="M1316"/>
    </row>
    <row r="1317" spans="13:13" s="185" customFormat="1" x14ac:dyDescent="0.3">
      <c r="M1317"/>
    </row>
    <row r="1318" spans="13:13" s="185" customFormat="1" x14ac:dyDescent="0.3">
      <c r="M1318"/>
    </row>
    <row r="1319" spans="13:13" s="185" customFormat="1" x14ac:dyDescent="0.3">
      <c r="M1319"/>
    </row>
    <row r="1320" spans="13:13" s="185" customFormat="1" x14ac:dyDescent="0.3">
      <c r="M1320"/>
    </row>
    <row r="1321" spans="13:13" s="185" customFormat="1" x14ac:dyDescent="0.3">
      <c r="M1321"/>
    </row>
    <row r="1322" spans="13:13" s="185" customFormat="1" x14ac:dyDescent="0.3">
      <c r="M1322"/>
    </row>
    <row r="1323" spans="13:13" s="185" customFormat="1" x14ac:dyDescent="0.3">
      <c r="M1323"/>
    </row>
    <row r="1324" spans="13:13" s="185" customFormat="1" x14ac:dyDescent="0.3">
      <c r="M1324"/>
    </row>
    <row r="1325" spans="13:13" s="185" customFormat="1" x14ac:dyDescent="0.3">
      <c r="M1325"/>
    </row>
    <row r="1326" spans="13:13" s="185" customFormat="1" x14ac:dyDescent="0.3">
      <c r="M1326"/>
    </row>
    <row r="1327" spans="13:13" s="185" customFormat="1" x14ac:dyDescent="0.3">
      <c r="M1327"/>
    </row>
    <row r="1328" spans="13:13" s="185" customFormat="1" x14ac:dyDescent="0.3">
      <c r="M1328"/>
    </row>
    <row r="1329" spans="13:13" s="185" customFormat="1" x14ac:dyDescent="0.3">
      <c r="M1329"/>
    </row>
    <row r="1330" spans="13:13" s="185" customFormat="1" x14ac:dyDescent="0.3">
      <c r="M1330"/>
    </row>
    <row r="1331" spans="13:13" s="185" customFormat="1" x14ac:dyDescent="0.3">
      <c r="M1331"/>
    </row>
    <row r="1332" spans="13:13" s="185" customFormat="1" x14ac:dyDescent="0.3">
      <c r="M1332"/>
    </row>
    <row r="1333" spans="13:13" s="185" customFormat="1" x14ac:dyDescent="0.3">
      <c r="M1333"/>
    </row>
    <row r="1334" spans="13:13" s="185" customFormat="1" x14ac:dyDescent="0.3">
      <c r="M1334"/>
    </row>
    <row r="1335" spans="13:13" s="185" customFormat="1" x14ac:dyDescent="0.3">
      <c r="M1335"/>
    </row>
    <row r="1336" spans="13:13" s="185" customFormat="1" x14ac:dyDescent="0.3">
      <c r="M1336"/>
    </row>
    <row r="1337" spans="13:13" s="185" customFormat="1" x14ac:dyDescent="0.3">
      <c r="M1337"/>
    </row>
    <row r="1338" spans="13:13" s="185" customFormat="1" x14ac:dyDescent="0.3">
      <c r="M1338"/>
    </row>
    <row r="1339" spans="13:13" s="185" customFormat="1" x14ac:dyDescent="0.3">
      <c r="M1339"/>
    </row>
    <row r="1340" spans="13:13" s="185" customFormat="1" x14ac:dyDescent="0.3">
      <c r="M1340"/>
    </row>
    <row r="1341" spans="13:13" s="185" customFormat="1" x14ac:dyDescent="0.3">
      <c r="M1341"/>
    </row>
    <row r="1342" spans="13:13" s="185" customFormat="1" x14ac:dyDescent="0.3">
      <c r="M1342"/>
    </row>
    <row r="1343" spans="13:13" s="185" customFormat="1" x14ac:dyDescent="0.3">
      <c r="M1343"/>
    </row>
    <row r="1344" spans="13:13" s="185" customFormat="1" x14ac:dyDescent="0.3">
      <c r="M1344"/>
    </row>
    <row r="1345" spans="13:13" s="185" customFormat="1" x14ac:dyDescent="0.3">
      <c r="M1345"/>
    </row>
    <row r="1346" spans="13:13" s="185" customFormat="1" x14ac:dyDescent="0.3">
      <c r="M1346"/>
    </row>
    <row r="1347" spans="13:13" s="185" customFormat="1" x14ac:dyDescent="0.3">
      <c r="M1347"/>
    </row>
    <row r="1348" spans="13:13" s="185" customFormat="1" x14ac:dyDescent="0.3">
      <c r="M1348"/>
    </row>
    <row r="1349" spans="13:13" s="185" customFormat="1" x14ac:dyDescent="0.3">
      <c r="M1349"/>
    </row>
    <row r="1350" spans="13:13" s="185" customFormat="1" x14ac:dyDescent="0.3">
      <c r="M1350"/>
    </row>
    <row r="1351" spans="13:13" s="185" customFormat="1" x14ac:dyDescent="0.3">
      <c r="M1351"/>
    </row>
    <row r="1352" spans="13:13" s="185" customFormat="1" x14ac:dyDescent="0.3">
      <c r="M1352"/>
    </row>
    <row r="1353" spans="13:13" s="185" customFormat="1" x14ac:dyDescent="0.3">
      <c r="M1353"/>
    </row>
    <row r="1354" spans="13:13" s="185" customFormat="1" x14ac:dyDescent="0.3">
      <c r="M1354"/>
    </row>
    <row r="1355" spans="13:13" s="185" customFormat="1" x14ac:dyDescent="0.3">
      <c r="M1355"/>
    </row>
    <row r="1356" spans="13:13" s="185" customFormat="1" x14ac:dyDescent="0.3">
      <c r="M1356"/>
    </row>
    <row r="1357" spans="13:13" s="185" customFormat="1" x14ac:dyDescent="0.3">
      <c r="M1357"/>
    </row>
    <row r="1358" spans="13:13" s="185" customFormat="1" x14ac:dyDescent="0.3">
      <c r="M1358"/>
    </row>
    <row r="1359" spans="13:13" s="185" customFormat="1" x14ac:dyDescent="0.3">
      <c r="M1359"/>
    </row>
    <row r="1360" spans="13:13" s="185" customFormat="1" x14ac:dyDescent="0.3">
      <c r="M1360"/>
    </row>
    <row r="1361" spans="13:13" s="185" customFormat="1" x14ac:dyDescent="0.3">
      <c r="M1361"/>
    </row>
    <row r="1362" spans="13:13" s="185" customFormat="1" x14ac:dyDescent="0.3">
      <c r="M1362"/>
    </row>
    <row r="1363" spans="13:13" s="185" customFormat="1" x14ac:dyDescent="0.3">
      <c r="M1363"/>
    </row>
    <row r="1364" spans="13:13" s="185" customFormat="1" x14ac:dyDescent="0.3">
      <c r="M1364"/>
    </row>
    <row r="1365" spans="13:13" s="185" customFormat="1" x14ac:dyDescent="0.3">
      <c r="M1365"/>
    </row>
    <row r="1366" spans="13:13" s="185" customFormat="1" x14ac:dyDescent="0.3">
      <c r="M1366"/>
    </row>
    <row r="1367" spans="13:13" s="185" customFormat="1" x14ac:dyDescent="0.3">
      <c r="M1367"/>
    </row>
    <row r="1368" spans="13:13" s="185" customFormat="1" x14ac:dyDescent="0.3">
      <c r="M1368"/>
    </row>
    <row r="1369" spans="13:13" s="185" customFormat="1" x14ac:dyDescent="0.3">
      <c r="M1369"/>
    </row>
    <row r="1370" spans="13:13" s="185" customFormat="1" x14ac:dyDescent="0.3">
      <c r="M1370"/>
    </row>
    <row r="1371" spans="13:13" s="185" customFormat="1" x14ac:dyDescent="0.3">
      <c r="M1371"/>
    </row>
    <row r="1372" spans="13:13" s="185" customFormat="1" x14ac:dyDescent="0.3">
      <c r="M1372"/>
    </row>
    <row r="1373" spans="13:13" s="185" customFormat="1" x14ac:dyDescent="0.3">
      <c r="M1373"/>
    </row>
    <row r="1374" spans="13:13" s="185" customFormat="1" x14ac:dyDescent="0.3">
      <c r="M1374"/>
    </row>
    <row r="1375" spans="13:13" s="185" customFormat="1" x14ac:dyDescent="0.3">
      <c r="M1375"/>
    </row>
    <row r="1376" spans="13:13" s="185" customFormat="1" x14ac:dyDescent="0.3">
      <c r="M1376"/>
    </row>
    <row r="1377" spans="13:13" s="185" customFormat="1" x14ac:dyDescent="0.3">
      <c r="M1377"/>
    </row>
    <row r="1378" spans="13:13" s="185" customFormat="1" x14ac:dyDescent="0.3">
      <c r="M1378"/>
    </row>
    <row r="1379" spans="13:13" s="185" customFormat="1" x14ac:dyDescent="0.3">
      <c r="M1379"/>
    </row>
    <row r="1380" spans="13:13" s="185" customFormat="1" x14ac:dyDescent="0.3">
      <c r="M1380"/>
    </row>
    <row r="1381" spans="13:13" s="185" customFormat="1" x14ac:dyDescent="0.3">
      <c r="M1381"/>
    </row>
    <row r="1382" spans="13:13" s="185" customFormat="1" x14ac:dyDescent="0.3">
      <c r="M1382"/>
    </row>
    <row r="1383" spans="13:13" s="185" customFormat="1" x14ac:dyDescent="0.3">
      <c r="M1383"/>
    </row>
    <row r="1384" spans="13:13" s="185" customFormat="1" x14ac:dyDescent="0.3">
      <c r="M1384"/>
    </row>
    <row r="1385" spans="13:13" s="185" customFormat="1" x14ac:dyDescent="0.3">
      <c r="M1385"/>
    </row>
    <row r="1386" spans="13:13" s="185" customFormat="1" x14ac:dyDescent="0.3">
      <c r="M1386"/>
    </row>
    <row r="1387" spans="13:13" s="185" customFormat="1" x14ac:dyDescent="0.3">
      <c r="M1387"/>
    </row>
    <row r="1388" spans="13:13" s="185" customFormat="1" x14ac:dyDescent="0.3">
      <c r="M1388"/>
    </row>
    <row r="1389" spans="13:13" s="185" customFormat="1" x14ac:dyDescent="0.3">
      <c r="M1389"/>
    </row>
    <row r="1390" spans="13:13" s="185" customFormat="1" x14ac:dyDescent="0.3">
      <c r="M1390"/>
    </row>
    <row r="1391" spans="13:13" s="185" customFormat="1" x14ac:dyDescent="0.3">
      <c r="M1391"/>
    </row>
    <row r="1392" spans="13:13" s="185" customFormat="1" x14ac:dyDescent="0.3">
      <c r="M1392"/>
    </row>
    <row r="1393" spans="13:13" s="185" customFormat="1" x14ac:dyDescent="0.3">
      <c r="M1393"/>
    </row>
    <row r="1394" spans="13:13" s="185" customFormat="1" x14ac:dyDescent="0.3">
      <c r="M1394"/>
    </row>
    <row r="1395" spans="13:13" s="185" customFormat="1" x14ac:dyDescent="0.3">
      <c r="M1395"/>
    </row>
    <row r="1396" spans="13:13" s="185" customFormat="1" x14ac:dyDescent="0.3">
      <c r="M1396"/>
    </row>
    <row r="1397" spans="13:13" s="185" customFormat="1" x14ac:dyDescent="0.3">
      <c r="M1397"/>
    </row>
    <row r="1398" spans="13:13" s="185" customFormat="1" x14ac:dyDescent="0.3">
      <c r="M1398"/>
    </row>
    <row r="1399" spans="13:13" s="185" customFormat="1" x14ac:dyDescent="0.3">
      <c r="M1399"/>
    </row>
    <row r="1400" spans="13:13" s="185" customFormat="1" x14ac:dyDescent="0.3">
      <c r="M1400"/>
    </row>
    <row r="1401" spans="13:13" s="185" customFormat="1" x14ac:dyDescent="0.3">
      <c r="M1401"/>
    </row>
    <row r="1402" spans="13:13" s="185" customFormat="1" x14ac:dyDescent="0.3">
      <c r="M1402"/>
    </row>
    <row r="1403" spans="13:13" s="185" customFormat="1" x14ac:dyDescent="0.3">
      <c r="M1403"/>
    </row>
    <row r="1404" spans="13:13" s="185" customFormat="1" x14ac:dyDescent="0.3">
      <c r="M1404"/>
    </row>
    <row r="1405" spans="13:13" s="185" customFormat="1" x14ac:dyDescent="0.3">
      <c r="M1405"/>
    </row>
    <row r="1406" spans="13:13" s="185" customFormat="1" x14ac:dyDescent="0.3">
      <c r="M1406"/>
    </row>
    <row r="1407" spans="13:13" s="185" customFormat="1" x14ac:dyDescent="0.3">
      <c r="M1407"/>
    </row>
    <row r="1408" spans="13:13" s="185" customFormat="1" x14ac:dyDescent="0.3">
      <c r="M1408"/>
    </row>
    <row r="1409" spans="13:13" s="185" customFormat="1" x14ac:dyDescent="0.3">
      <c r="M1409"/>
    </row>
    <row r="1410" spans="13:13" s="185" customFormat="1" x14ac:dyDescent="0.3">
      <c r="M1410"/>
    </row>
    <row r="1411" spans="13:13" s="185" customFormat="1" x14ac:dyDescent="0.3">
      <c r="M1411"/>
    </row>
    <row r="1412" spans="13:13" s="185" customFormat="1" x14ac:dyDescent="0.3">
      <c r="M1412"/>
    </row>
    <row r="1413" spans="13:13" s="185" customFormat="1" x14ac:dyDescent="0.3">
      <c r="M1413"/>
    </row>
    <row r="1414" spans="13:13" s="185" customFormat="1" x14ac:dyDescent="0.3">
      <c r="M1414"/>
    </row>
    <row r="1415" spans="13:13" s="185" customFormat="1" x14ac:dyDescent="0.3">
      <c r="M1415"/>
    </row>
    <row r="1416" spans="13:13" s="185" customFormat="1" x14ac:dyDescent="0.3">
      <c r="M1416"/>
    </row>
    <row r="1417" spans="13:13" s="185" customFormat="1" x14ac:dyDescent="0.3">
      <c r="M1417"/>
    </row>
    <row r="1418" spans="13:13" s="185" customFormat="1" x14ac:dyDescent="0.3">
      <c r="M1418"/>
    </row>
    <row r="1419" spans="13:13" s="185" customFormat="1" x14ac:dyDescent="0.3">
      <c r="M1419"/>
    </row>
    <row r="1420" spans="13:13" s="185" customFormat="1" x14ac:dyDescent="0.3">
      <c r="M1420"/>
    </row>
    <row r="1421" spans="13:13" s="185" customFormat="1" x14ac:dyDescent="0.3">
      <c r="M1421"/>
    </row>
    <row r="1422" spans="13:13" s="185" customFormat="1" x14ac:dyDescent="0.3">
      <c r="M1422"/>
    </row>
    <row r="1423" spans="13:13" s="185" customFormat="1" x14ac:dyDescent="0.3">
      <c r="M1423"/>
    </row>
    <row r="1424" spans="13:13" s="185" customFormat="1" x14ac:dyDescent="0.3">
      <c r="M1424"/>
    </row>
    <row r="1425" spans="13:13" s="185" customFormat="1" x14ac:dyDescent="0.3">
      <c r="M1425"/>
    </row>
    <row r="1426" spans="13:13" s="185" customFormat="1" x14ac:dyDescent="0.3">
      <c r="M1426"/>
    </row>
    <row r="1427" spans="13:13" s="185" customFormat="1" x14ac:dyDescent="0.3">
      <c r="M1427"/>
    </row>
    <row r="1428" spans="13:13" s="185" customFormat="1" x14ac:dyDescent="0.3">
      <c r="M1428"/>
    </row>
    <row r="1429" spans="13:13" s="185" customFormat="1" x14ac:dyDescent="0.3">
      <c r="M1429"/>
    </row>
    <row r="1430" spans="13:13" s="185" customFormat="1" x14ac:dyDescent="0.3">
      <c r="M1430"/>
    </row>
    <row r="1431" spans="13:13" s="185" customFormat="1" x14ac:dyDescent="0.3">
      <c r="M1431"/>
    </row>
    <row r="1432" spans="13:13" s="185" customFormat="1" x14ac:dyDescent="0.3">
      <c r="M1432"/>
    </row>
    <row r="1433" spans="13:13" s="185" customFormat="1" x14ac:dyDescent="0.3">
      <c r="M1433"/>
    </row>
    <row r="1434" spans="13:13" s="185" customFormat="1" x14ac:dyDescent="0.3">
      <c r="M1434"/>
    </row>
    <row r="1435" spans="13:13" s="185" customFormat="1" x14ac:dyDescent="0.3">
      <c r="M1435"/>
    </row>
    <row r="1436" spans="13:13" s="185" customFormat="1" x14ac:dyDescent="0.3">
      <c r="M1436"/>
    </row>
    <row r="1437" spans="13:13" s="185" customFormat="1" x14ac:dyDescent="0.3">
      <c r="M1437"/>
    </row>
    <row r="1438" spans="13:13" s="185" customFormat="1" x14ac:dyDescent="0.3">
      <c r="M1438"/>
    </row>
    <row r="1439" spans="13:13" s="185" customFormat="1" x14ac:dyDescent="0.3">
      <c r="M1439"/>
    </row>
    <row r="1440" spans="13:13" s="185" customFormat="1" x14ac:dyDescent="0.3">
      <c r="M1440"/>
    </row>
    <row r="1441" spans="13:13" s="185" customFormat="1" x14ac:dyDescent="0.3">
      <c r="M1441"/>
    </row>
    <row r="1442" spans="13:13" s="185" customFormat="1" x14ac:dyDescent="0.3">
      <c r="M1442"/>
    </row>
    <row r="1443" spans="13:13" s="185" customFormat="1" x14ac:dyDescent="0.3">
      <c r="M1443"/>
    </row>
    <row r="1444" spans="13:13" s="185" customFormat="1" x14ac:dyDescent="0.3">
      <c r="M1444"/>
    </row>
    <row r="1445" spans="13:13" s="185" customFormat="1" x14ac:dyDescent="0.3">
      <c r="M1445"/>
    </row>
    <row r="1446" spans="13:13" s="185" customFormat="1" x14ac:dyDescent="0.3">
      <c r="M1446"/>
    </row>
    <row r="1447" spans="13:13" s="185" customFormat="1" x14ac:dyDescent="0.3">
      <c r="M1447"/>
    </row>
    <row r="1448" spans="13:13" s="185" customFormat="1" x14ac:dyDescent="0.3">
      <c r="M1448"/>
    </row>
    <row r="1449" spans="13:13" s="185" customFormat="1" x14ac:dyDescent="0.3">
      <c r="M1449"/>
    </row>
    <row r="1450" spans="13:13" s="185" customFormat="1" x14ac:dyDescent="0.3">
      <c r="M1450"/>
    </row>
    <row r="1451" spans="13:13" s="185" customFormat="1" x14ac:dyDescent="0.3">
      <c r="M1451"/>
    </row>
    <row r="1452" spans="13:13" s="185" customFormat="1" x14ac:dyDescent="0.3">
      <c r="M1452"/>
    </row>
    <row r="1453" spans="13:13" s="185" customFormat="1" x14ac:dyDescent="0.3">
      <c r="M1453"/>
    </row>
    <row r="1454" spans="13:13" s="185" customFormat="1" x14ac:dyDescent="0.3">
      <c r="M1454"/>
    </row>
    <row r="1455" spans="13:13" s="185" customFormat="1" x14ac:dyDescent="0.3">
      <c r="M1455"/>
    </row>
    <row r="1456" spans="13:13" s="185" customFormat="1" x14ac:dyDescent="0.3">
      <c r="M1456"/>
    </row>
    <row r="1457" spans="13:13" s="185" customFormat="1" x14ac:dyDescent="0.3">
      <c r="M1457"/>
    </row>
    <row r="1458" spans="13:13" s="185" customFormat="1" x14ac:dyDescent="0.3">
      <c r="M1458"/>
    </row>
    <row r="1459" spans="13:13" s="185" customFormat="1" x14ac:dyDescent="0.3">
      <c r="M1459"/>
    </row>
    <row r="1460" spans="13:13" s="185" customFormat="1" x14ac:dyDescent="0.3">
      <c r="M1460"/>
    </row>
    <row r="1461" spans="13:13" s="185" customFormat="1" x14ac:dyDescent="0.3">
      <c r="M1461"/>
    </row>
    <row r="1462" spans="13:13" s="185" customFormat="1" x14ac:dyDescent="0.3">
      <c r="M1462"/>
    </row>
    <row r="1463" spans="13:13" s="185" customFormat="1" x14ac:dyDescent="0.3">
      <c r="M1463"/>
    </row>
    <row r="1464" spans="13:13" s="185" customFormat="1" x14ac:dyDescent="0.3">
      <c r="M1464"/>
    </row>
    <row r="1465" spans="13:13" s="185" customFormat="1" x14ac:dyDescent="0.3">
      <c r="M1465"/>
    </row>
    <row r="1466" spans="13:13" s="185" customFormat="1" x14ac:dyDescent="0.3">
      <c r="M1466"/>
    </row>
    <row r="1467" spans="13:13" s="185" customFormat="1" x14ac:dyDescent="0.3">
      <c r="M1467"/>
    </row>
    <row r="1468" spans="13:13" s="185" customFormat="1" x14ac:dyDescent="0.3">
      <c r="M1468"/>
    </row>
    <row r="1469" spans="13:13" s="185" customFormat="1" x14ac:dyDescent="0.3">
      <c r="M1469"/>
    </row>
    <row r="1470" spans="13:13" s="185" customFormat="1" x14ac:dyDescent="0.3">
      <c r="M1470"/>
    </row>
    <row r="1471" spans="13:13" s="185" customFormat="1" x14ac:dyDescent="0.3">
      <c r="M1471"/>
    </row>
    <row r="1472" spans="13:13" s="185" customFormat="1" x14ac:dyDescent="0.3">
      <c r="M1472"/>
    </row>
    <row r="1473" spans="13:13" s="185" customFormat="1" x14ac:dyDescent="0.3">
      <c r="M1473"/>
    </row>
    <row r="1474" spans="13:13" s="185" customFormat="1" x14ac:dyDescent="0.3">
      <c r="M1474"/>
    </row>
    <row r="1475" spans="13:13" s="185" customFormat="1" x14ac:dyDescent="0.3">
      <c r="M1475"/>
    </row>
    <row r="1476" spans="13:13" s="185" customFormat="1" x14ac:dyDescent="0.3">
      <c r="M1476"/>
    </row>
    <row r="1477" spans="13:13" s="185" customFormat="1" x14ac:dyDescent="0.3">
      <c r="M1477"/>
    </row>
    <row r="1478" spans="13:13" s="185" customFormat="1" x14ac:dyDescent="0.3">
      <c r="M1478"/>
    </row>
    <row r="1479" spans="13:13" s="185" customFormat="1" x14ac:dyDescent="0.3">
      <c r="M1479"/>
    </row>
    <row r="1480" spans="13:13" s="185" customFormat="1" x14ac:dyDescent="0.3">
      <c r="M1480"/>
    </row>
    <row r="1481" spans="13:13" s="185" customFormat="1" x14ac:dyDescent="0.3">
      <c r="M1481"/>
    </row>
    <row r="1482" spans="13:13" s="185" customFormat="1" x14ac:dyDescent="0.3">
      <c r="M1482"/>
    </row>
    <row r="1483" spans="13:13" s="185" customFormat="1" x14ac:dyDescent="0.3">
      <c r="M1483"/>
    </row>
    <row r="1484" spans="13:13" s="185" customFormat="1" x14ac:dyDescent="0.3">
      <c r="M1484"/>
    </row>
    <row r="1485" spans="13:13" s="185" customFormat="1" x14ac:dyDescent="0.3">
      <c r="M1485"/>
    </row>
    <row r="1486" spans="13:13" s="185" customFormat="1" x14ac:dyDescent="0.3">
      <c r="M1486"/>
    </row>
    <row r="1487" spans="13:13" s="185" customFormat="1" x14ac:dyDescent="0.3">
      <c r="M1487"/>
    </row>
    <row r="1488" spans="13:13" s="185" customFormat="1" x14ac:dyDescent="0.3">
      <c r="M1488"/>
    </row>
    <row r="1489" spans="13:13" s="185" customFormat="1" x14ac:dyDescent="0.3">
      <c r="M1489"/>
    </row>
    <row r="1490" spans="13:13" s="185" customFormat="1" x14ac:dyDescent="0.3">
      <c r="M1490"/>
    </row>
    <row r="1491" spans="13:13" s="185" customFormat="1" x14ac:dyDescent="0.3">
      <c r="M1491"/>
    </row>
    <row r="1492" spans="13:13" s="185" customFormat="1" x14ac:dyDescent="0.3">
      <c r="M1492"/>
    </row>
    <row r="1493" spans="13:13" s="185" customFormat="1" x14ac:dyDescent="0.3">
      <c r="M1493"/>
    </row>
    <row r="1494" spans="13:13" s="185" customFormat="1" x14ac:dyDescent="0.3">
      <c r="M1494"/>
    </row>
    <row r="1495" spans="13:13" s="185" customFormat="1" x14ac:dyDescent="0.3">
      <c r="M1495"/>
    </row>
    <row r="1496" spans="13:13" s="185" customFormat="1" x14ac:dyDescent="0.3">
      <c r="M1496"/>
    </row>
    <row r="1497" spans="13:13" s="185" customFormat="1" x14ac:dyDescent="0.3">
      <c r="M1497"/>
    </row>
    <row r="1498" spans="13:13" s="185" customFormat="1" x14ac:dyDescent="0.3">
      <c r="M1498"/>
    </row>
    <row r="1499" spans="13:13" s="185" customFormat="1" x14ac:dyDescent="0.3">
      <c r="M1499"/>
    </row>
    <row r="1500" spans="13:13" s="185" customFormat="1" x14ac:dyDescent="0.3">
      <c r="M1500"/>
    </row>
    <row r="1501" spans="13:13" s="185" customFormat="1" x14ac:dyDescent="0.3">
      <c r="M1501"/>
    </row>
    <row r="1502" spans="13:13" s="185" customFormat="1" x14ac:dyDescent="0.3">
      <c r="M1502"/>
    </row>
    <row r="1503" spans="13:13" s="185" customFormat="1" x14ac:dyDescent="0.3">
      <c r="M1503"/>
    </row>
    <row r="1504" spans="13:13" s="185" customFormat="1" x14ac:dyDescent="0.3">
      <c r="M1504"/>
    </row>
    <row r="1505" spans="13:13" s="185" customFormat="1" x14ac:dyDescent="0.3">
      <c r="M1505"/>
    </row>
    <row r="1506" spans="13:13" s="185" customFormat="1" x14ac:dyDescent="0.3">
      <c r="M1506"/>
    </row>
    <row r="1507" spans="13:13" s="185" customFormat="1" x14ac:dyDescent="0.3">
      <c r="M1507"/>
    </row>
    <row r="1508" spans="13:13" s="185" customFormat="1" x14ac:dyDescent="0.3">
      <c r="M1508"/>
    </row>
    <row r="1509" spans="13:13" s="185" customFormat="1" x14ac:dyDescent="0.3">
      <c r="M1509"/>
    </row>
    <row r="1510" spans="13:13" s="185" customFormat="1" x14ac:dyDescent="0.3">
      <c r="M1510"/>
    </row>
    <row r="1511" spans="13:13" s="185" customFormat="1" x14ac:dyDescent="0.3">
      <c r="M1511"/>
    </row>
    <row r="1512" spans="13:13" s="185" customFormat="1" x14ac:dyDescent="0.3">
      <c r="M1512"/>
    </row>
    <row r="1513" spans="13:13" s="185" customFormat="1" x14ac:dyDescent="0.3">
      <c r="M1513"/>
    </row>
    <row r="1514" spans="13:13" s="185" customFormat="1" x14ac:dyDescent="0.3">
      <c r="M1514"/>
    </row>
    <row r="1515" spans="13:13" s="185" customFormat="1" x14ac:dyDescent="0.3">
      <c r="M1515"/>
    </row>
    <row r="1516" spans="13:13" s="185" customFormat="1" x14ac:dyDescent="0.3">
      <c r="M1516"/>
    </row>
    <row r="1517" spans="13:13" s="185" customFormat="1" x14ac:dyDescent="0.3">
      <c r="M1517"/>
    </row>
    <row r="1518" spans="13:13" s="185" customFormat="1" x14ac:dyDescent="0.3">
      <c r="M1518"/>
    </row>
    <row r="1519" spans="13:13" s="185" customFormat="1" x14ac:dyDescent="0.3">
      <c r="M1519"/>
    </row>
    <row r="1520" spans="13:13" s="185" customFormat="1" x14ac:dyDescent="0.3">
      <c r="M1520"/>
    </row>
    <row r="1521" spans="13:13" s="185" customFormat="1" x14ac:dyDescent="0.3">
      <c r="M1521"/>
    </row>
    <row r="1522" spans="13:13" s="185" customFormat="1" x14ac:dyDescent="0.3">
      <c r="M1522"/>
    </row>
    <row r="1523" spans="13:13" s="185" customFormat="1" x14ac:dyDescent="0.3">
      <c r="M1523"/>
    </row>
    <row r="1524" spans="13:13" s="185" customFormat="1" x14ac:dyDescent="0.3">
      <c r="M1524"/>
    </row>
    <row r="1525" spans="13:13" s="185" customFormat="1" x14ac:dyDescent="0.3">
      <c r="M1525"/>
    </row>
    <row r="1526" spans="13:13" s="185" customFormat="1" x14ac:dyDescent="0.3">
      <c r="M1526"/>
    </row>
    <row r="1527" spans="13:13" s="185" customFormat="1" x14ac:dyDescent="0.3">
      <c r="M1527"/>
    </row>
    <row r="1528" spans="13:13" s="185" customFormat="1" x14ac:dyDescent="0.3">
      <c r="M1528"/>
    </row>
    <row r="1529" spans="13:13" s="185" customFormat="1" x14ac:dyDescent="0.3">
      <c r="M1529"/>
    </row>
    <row r="1530" spans="13:13" s="185" customFormat="1" x14ac:dyDescent="0.3">
      <c r="M1530"/>
    </row>
    <row r="1531" spans="13:13" s="185" customFormat="1" x14ac:dyDescent="0.3">
      <c r="M1531"/>
    </row>
    <row r="1532" spans="13:13" s="185" customFormat="1" x14ac:dyDescent="0.3">
      <c r="M1532"/>
    </row>
    <row r="1533" spans="13:13" s="185" customFormat="1" x14ac:dyDescent="0.3">
      <c r="M1533"/>
    </row>
    <row r="1534" spans="13:13" s="185" customFormat="1" x14ac:dyDescent="0.3">
      <c r="M1534"/>
    </row>
    <row r="1535" spans="13:13" s="185" customFormat="1" x14ac:dyDescent="0.3">
      <c r="M1535"/>
    </row>
    <row r="1536" spans="13:13" s="185" customFormat="1" x14ac:dyDescent="0.3">
      <c r="M1536"/>
    </row>
    <row r="1537" spans="13:13" s="185" customFormat="1" x14ac:dyDescent="0.3">
      <c r="M1537"/>
    </row>
    <row r="1538" spans="13:13" s="185" customFormat="1" x14ac:dyDescent="0.3">
      <c r="M1538"/>
    </row>
    <row r="1539" spans="13:13" s="185" customFormat="1" x14ac:dyDescent="0.3">
      <c r="M1539"/>
    </row>
    <row r="1540" spans="13:13" s="185" customFormat="1" x14ac:dyDescent="0.3">
      <c r="M1540"/>
    </row>
    <row r="1541" spans="13:13" s="185" customFormat="1" x14ac:dyDescent="0.3">
      <c r="M1541"/>
    </row>
    <row r="1542" spans="13:13" s="185" customFormat="1" x14ac:dyDescent="0.3">
      <c r="M1542"/>
    </row>
    <row r="1543" spans="13:13" s="185" customFormat="1" x14ac:dyDescent="0.3">
      <c r="M1543"/>
    </row>
    <row r="1544" spans="13:13" s="185" customFormat="1" x14ac:dyDescent="0.3">
      <c r="M1544"/>
    </row>
    <row r="1545" spans="13:13" s="185" customFormat="1" x14ac:dyDescent="0.3">
      <c r="M1545"/>
    </row>
    <row r="1546" spans="13:13" s="185" customFormat="1" x14ac:dyDescent="0.3">
      <c r="M1546"/>
    </row>
    <row r="1547" spans="13:13" s="185" customFormat="1" x14ac:dyDescent="0.3">
      <c r="M1547"/>
    </row>
    <row r="1548" spans="13:13" s="185" customFormat="1" x14ac:dyDescent="0.3">
      <c r="M1548"/>
    </row>
    <row r="1549" spans="13:13" s="185" customFormat="1" x14ac:dyDescent="0.3">
      <c r="M1549"/>
    </row>
    <row r="1550" spans="13:13" s="185" customFormat="1" x14ac:dyDescent="0.3">
      <c r="M1550"/>
    </row>
    <row r="1551" spans="13:13" s="185" customFormat="1" x14ac:dyDescent="0.3">
      <c r="M1551"/>
    </row>
    <row r="1552" spans="13:13" s="185" customFormat="1" x14ac:dyDescent="0.3">
      <c r="M1552"/>
    </row>
    <row r="1553" spans="13:13" s="185" customFormat="1" x14ac:dyDescent="0.3">
      <c r="M1553"/>
    </row>
    <row r="1554" spans="13:13" s="185" customFormat="1" x14ac:dyDescent="0.3">
      <c r="M1554"/>
    </row>
    <row r="1555" spans="13:13" s="185" customFormat="1" x14ac:dyDescent="0.3">
      <c r="M1555"/>
    </row>
    <row r="1556" spans="13:13" s="185" customFormat="1" x14ac:dyDescent="0.3">
      <c r="M1556"/>
    </row>
    <row r="1557" spans="13:13" s="185" customFormat="1" x14ac:dyDescent="0.3">
      <c r="M1557"/>
    </row>
    <row r="1558" spans="13:13" s="185" customFormat="1" x14ac:dyDescent="0.3">
      <c r="M1558"/>
    </row>
    <row r="1559" spans="13:13" s="185" customFormat="1" x14ac:dyDescent="0.3">
      <c r="M1559"/>
    </row>
    <row r="1560" spans="13:13" s="185" customFormat="1" x14ac:dyDescent="0.3">
      <c r="M1560"/>
    </row>
    <row r="1561" spans="13:13" s="185" customFormat="1" x14ac:dyDescent="0.3">
      <c r="M1561"/>
    </row>
    <row r="1562" spans="13:13" s="185" customFormat="1" x14ac:dyDescent="0.3">
      <c r="M1562"/>
    </row>
    <row r="1563" spans="13:13" s="185" customFormat="1" x14ac:dyDescent="0.3">
      <c r="M1563"/>
    </row>
    <row r="1564" spans="13:13" s="185" customFormat="1" x14ac:dyDescent="0.3">
      <c r="M1564"/>
    </row>
    <row r="1565" spans="13:13" s="185" customFormat="1" x14ac:dyDescent="0.3">
      <c r="M1565"/>
    </row>
    <row r="1566" spans="13:13" s="185" customFormat="1" x14ac:dyDescent="0.3">
      <c r="M1566"/>
    </row>
    <row r="1567" spans="13:13" s="185" customFormat="1" x14ac:dyDescent="0.3">
      <c r="M1567"/>
    </row>
    <row r="1568" spans="13:13" s="185" customFormat="1" x14ac:dyDescent="0.3">
      <c r="M1568"/>
    </row>
    <row r="1569" spans="13:13" s="185" customFormat="1" x14ac:dyDescent="0.3">
      <c r="M1569"/>
    </row>
    <row r="1570" spans="13:13" s="185" customFormat="1" x14ac:dyDescent="0.3">
      <c r="M1570"/>
    </row>
    <row r="1571" spans="13:13" s="185" customFormat="1" x14ac:dyDescent="0.3">
      <c r="M1571"/>
    </row>
    <row r="1572" spans="13:13" s="185" customFormat="1" x14ac:dyDescent="0.3">
      <c r="M1572"/>
    </row>
    <row r="1573" spans="13:13" s="185" customFormat="1" x14ac:dyDescent="0.3">
      <c r="M1573"/>
    </row>
    <row r="1574" spans="13:13" s="185" customFormat="1" x14ac:dyDescent="0.3">
      <c r="M1574"/>
    </row>
    <row r="1575" spans="13:13" s="185" customFormat="1" x14ac:dyDescent="0.3">
      <c r="M1575"/>
    </row>
    <row r="1576" spans="13:13" s="185" customFormat="1" x14ac:dyDescent="0.3">
      <c r="M1576"/>
    </row>
    <row r="1577" spans="13:13" s="185" customFormat="1" x14ac:dyDescent="0.3">
      <c r="M1577"/>
    </row>
    <row r="1578" spans="13:13" s="185" customFormat="1" x14ac:dyDescent="0.3">
      <c r="M1578"/>
    </row>
    <row r="1579" spans="13:13" s="185" customFormat="1" x14ac:dyDescent="0.3">
      <c r="M1579"/>
    </row>
    <row r="1580" spans="13:13" s="185" customFormat="1" x14ac:dyDescent="0.3">
      <c r="M1580"/>
    </row>
    <row r="1581" spans="13:13" s="185" customFormat="1" x14ac:dyDescent="0.3">
      <c r="M1581"/>
    </row>
    <row r="1582" spans="13:13" s="185" customFormat="1" x14ac:dyDescent="0.3">
      <c r="M1582"/>
    </row>
    <row r="1583" spans="13:13" s="185" customFormat="1" x14ac:dyDescent="0.3">
      <c r="M1583"/>
    </row>
    <row r="1584" spans="13:13" s="185" customFormat="1" x14ac:dyDescent="0.3">
      <c r="M1584"/>
    </row>
    <row r="1585" spans="13:13" s="185" customFormat="1" x14ac:dyDescent="0.3">
      <c r="M1585"/>
    </row>
    <row r="1586" spans="13:13" s="185" customFormat="1" x14ac:dyDescent="0.3">
      <c r="M1586"/>
    </row>
    <row r="1587" spans="13:13" s="185" customFormat="1" x14ac:dyDescent="0.3">
      <c r="M1587"/>
    </row>
    <row r="1588" spans="13:13" s="185" customFormat="1" x14ac:dyDescent="0.3">
      <c r="M1588"/>
    </row>
    <row r="1589" spans="13:13" s="185" customFormat="1" x14ac:dyDescent="0.3">
      <c r="M1589"/>
    </row>
    <row r="1590" spans="13:13" s="185" customFormat="1" x14ac:dyDescent="0.3">
      <c r="M1590"/>
    </row>
    <row r="1591" spans="13:13" s="185" customFormat="1" x14ac:dyDescent="0.3">
      <c r="M1591"/>
    </row>
    <row r="1592" spans="13:13" s="185" customFormat="1" x14ac:dyDescent="0.3">
      <c r="M1592"/>
    </row>
    <row r="1593" spans="13:13" s="185" customFormat="1" x14ac:dyDescent="0.3">
      <c r="M1593"/>
    </row>
    <row r="1594" spans="13:13" s="185" customFormat="1" x14ac:dyDescent="0.3">
      <c r="M1594"/>
    </row>
    <row r="1595" spans="13:13" s="185" customFormat="1" x14ac:dyDescent="0.3">
      <c r="M1595"/>
    </row>
    <row r="1596" spans="13:13" s="185" customFormat="1" x14ac:dyDescent="0.3">
      <c r="M1596"/>
    </row>
    <row r="1597" spans="13:13" s="185" customFormat="1" x14ac:dyDescent="0.3">
      <c r="M1597"/>
    </row>
    <row r="1598" spans="13:13" s="185" customFormat="1" x14ac:dyDescent="0.3">
      <c r="M1598"/>
    </row>
    <row r="1599" spans="13:13" s="185" customFormat="1" x14ac:dyDescent="0.3">
      <c r="M1599"/>
    </row>
    <row r="1600" spans="13:13" s="185" customFormat="1" x14ac:dyDescent="0.3">
      <c r="M1600"/>
    </row>
    <row r="1601" spans="13:13" s="185" customFormat="1" x14ac:dyDescent="0.3">
      <c r="M1601"/>
    </row>
    <row r="1602" spans="13:13" s="185" customFormat="1" x14ac:dyDescent="0.3">
      <c r="M1602"/>
    </row>
    <row r="1603" spans="13:13" s="185" customFormat="1" x14ac:dyDescent="0.3">
      <c r="M1603"/>
    </row>
    <row r="1604" spans="13:13" s="185" customFormat="1" x14ac:dyDescent="0.3">
      <c r="M1604"/>
    </row>
    <row r="1605" spans="13:13" s="185" customFormat="1" x14ac:dyDescent="0.3">
      <c r="M1605"/>
    </row>
    <row r="1606" spans="13:13" s="185" customFormat="1" x14ac:dyDescent="0.3">
      <c r="M1606"/>
    </row>
    <row r="1607" spans="13:13" s="185" customFormat="1" x14ac:dyDescent="0.3">
      <c r="M1607"/>
    </row>
    <row r="1608" spans="13:13" s="185" customFormat="1" x14ac:dyDescent="0.3">
      <c r="M1608"/>
    </row>
    <row r="1609" spans="13:13" s="185" customFormat="1" x14ac:dyDescent="0.3">
      <c r="M1609"/>
    </row>
    <row r="1610" spans="13:13" s="185" customFormat="1" x14ac:dyDescent="0.3">
      <c r="M1610"/>
    </row>
    <row r="1611" spans="13:13" s="185" customFormat="1" x14ac:dyDescent="0.3">
      <c r="M1611"/>
    </row>
    <row r="1612" spans="13:13" s="185" customFormat="1" x14ac:dyDescent="0.3">
      <c r="M1612"/>
    </row>
    <row r="1613" spans="13:13" s="185" customFormat="1" x14ac:dyDescent="0.3">
      <c r="M1613"/>
    </row>
    <row r="1614" spans="13:13" s="185" customFormat="1" x14ac:dyDescent="0.3">
      <c r="M1614"/>
    </row>
    <row r="1615" spans="13:13" s="185" customFormat="1" x14ac:dyDescent="0.3">
      <c r="M1615"/>
    </row>
    <row r="1616" spans="13:13" s="185" customFormat="1" x14ac:dyDescent="0.3">
      <c r="M1616"/>
    </row>
    <row r="1617" spans="13:13" s="185" customFormat="1" x14ac:dyDescent="0.3">
      <c r="M1617"/>
    </row>
    <row r="1618" spans="13:13" s="185" customFormat="1" x14ac:dyDescent="0.3">
      <c r="M1618"/>
    </row>
    <row r="1619" spans="13:13" s="185" customFormat="1" x14ac:dyDescent="0.3">
      <c r="M1619"/>
    </row>
    <row r="1620" spans="13:13" s="185" customFormat="1" x14ac:dyDescent="0.3">
      <c r="M1620"/>
    </row>
    <row r="1621" spans="13:13" s="185" customFormat="1" x14ac:dyDescent="0.3">
      <c r="M1621"/>
    </row>
    <row r="1622" spans="13:13" s="185" customFormat="1" x14ac:dyDescent="0.3">
      <c r="M1622"/>
    </row>
    <row r="1623" spans="13:13" s="185" customFormat="1" x14ac:dyDescent="0.3">
      <c r="M1623"/>
    </row>
    <row r="1624" spans="13:13" s="185" customFormat="1" x14ac:dyDescent="0.3">
      <c r="M1624"/>
    </row>
    <row r="1625" spans="13:13" s="185" customFormat="1" x14ac:dyDescent="0.3">
      <c r="M1625"/>
    </row>
    <row r="1626" spans="13:13" s="185" customFormat="1" x14ac:dyDescent="0.3">
      <c r="M1626"/>
    </row>
    <row r="1627" spans="13:13" s="185" customFormat="1" x14ac:dyDescent="0.3">
      <c r="M1627"/>
    </row>
    <row r="1628" spans="13:13" s="185" customFormat="1" x14ac:dyDescent="0.3">
      <c r="M1628"/>
    </row>
    <row r="1629" spans="13:13" s="185" customFormat="1" x14ac:dyDescent="0.3">
      <c r="M1629"/>
    </row>
    <row r="1630" spans="13:13" s="185" customFormat="1" x14ac:dyDescent="0.3">
      <c r="M1630"/>
    </row>
    <row r="1631" spans="13:13" s="185" customFormat="1" x14ac:dyDescent="0.3">
      <c r="M1631"/>
    </row>
    <row r="1632" spans="13:13" s="185" customFormat="1" x14ac:dyDescent="0.3">
      <c r="M1632"/>
    </row>
    <row r="1633" spans="13:13" s="185" customFormat="1" x14ac:dyDescent="0.3">
      <c r="M1633"/>
    </row>
    <row r="1634" spans="13:13" s="185" customFormat="1" x14ac:dyDescent="0.3">
      <c r="M1634"/>
    </row>
    <row r="1635" spans="13:13" s="185" customFormat="1" x14ac:dyDescent="0.3">
      <c r="M1635"/>
    </row>
    <row r="1636" spans="13:13" s="185" customFormat="1" x14ac:dyDescent="0.3">
      <c r="M1636"/>
    </row>
    <row r="1637" spans="13:13" s="185" customFormat="1" x14ac:dyDescent="0.3">
      <c r="M1637"/>
    </row>
    <row r="1638" spans="13:13" s="185" customFormat="1" x14ac:dyDescent="0.3">
      <c r="M1638"/>
    </row>
    <row r="1639" spans="13:13" s="185" customFormat="1" x14ac:dyDescent="0.3">
      <c r="M1639"/>
    </row>
    <row r="1640" spans="13:13" s="185" customFormat="1" x14ac:dyDescent="0.3">
      <c r="M1640"/>
    </row>
    <row r="1641" spans="13:13" s="185" customFormat="1" x14ac:dyDescent="0.3">
      <c r="M1641"/>
    </row>
    <row r="1642" spans="13:13" s="185" customFormat="1" x14ac:dyDescent="0.3">
      <c r="M1642"/>
    </row>
    <row r="1643" spans="13:13" s="185" customFormat="1" x14ac:dyDescent="0.3">
      <c r="M1643"/>
    </row>
    <row r="1644" spans="13:13" s="185" customFormat="1" x14ac:dyDescent="0.3">
      <c r="M1644"/>
    </row>
    <row r="1645" spans="13:13" s="185" customFormat="1" x14ac:dyDescent="0.3">
      <c r="M1645"/>
    </row>
    <row r="1646" spans="13:13" s="185" customFormat="1" x14ac:dyDescent="0.3">
      <c r="M1646"/>
    </row>
    <row r="1647" spans="13:13" s="185" customFormat="1" x14ac:dyDescent="0.3">
      <c r="M1647"/>
    </row>
    <row r="1648" spans="13:13" s="185" customFormat="1" x14ac:dyDescent="0.3">
      <c r="M1648"/>
    </row>
    <row r="1649" spans="13:13" s="185" customFormat="1" x14ac:dyDescent="0.3">
      <c r="M1649"/>
    </row>
    <row r="1650" spans="13:13" s="185" customFormat="1" x14ac:dyDescent="0.3">
      <c r="M1650"/>
    </row>
    <row r="1651" spans="13:13" s="185" customFormat="1" x14ac:dyDescent="0.3">
      <c r="M1651"/>
    </row>
    <row r="1652" spans="13:13" s="185" customFormat="1" x14ac:dyDescent="0.3">
      <c r="M1652"/>
    </row>
    <row r="1653" spans="13:13" s="185" customFormat="1" x14ac:dyDescent="0.3">
      <c r="M1653"/>
    </row>
    <row r="1654" spans="13:13" s="185" customFormat="1" x14ac:dyDescent="0.3">
      <c r="M1654"/>
    </row>
    <row r="1655" spans="13:13" s="185" customFormat="1" x14ac:dyDescent="0.3">
      <c r="M1655"/>
    </row>
    <row r="1656" spans="13:13" s="185" customFormat="1" x14ac:dyDescent="0.3">
      <c r="M1656"/>
    </row>
    <row r="1657" spans="13:13" s="185" customFormat="1" x14ac:dyDescent="0.3">
      <c r="M1657"/>
    </row>
    <row r="1658" spans="13:13" s="185" customFormat="1" x14ac:dyDescent="0.3">
      <c r="M1658"/>
    </row>
    <row r="1659" spans="13:13" s="185" customFormat="1" x14ac:dyDescent="0.3">
      <c r="M1659"/>
    </row>
    <row r="1660" spans="13:13" s="185" customFormat="1" x14ac:dyDescent="0.3">
      <c r="M1660"/>
    </row>
    <row r="1661" spans="13:13" s="185" customFormat="1" x14ac:dyDescent="0.3">
      <c r="M1661"/>
    </row>
    <row r="1662" spans="13:13" s="185" customFormat="1" x14ac:dyDescent="0.3">
      <c r="M1662"/>
    </row>
    <row r="1663" spans="13:13" s="185" customFormat="1" x14ac:dyDescent="0.3">
      <c r="M1663"/>
    </row>
    <row r="1664" spans="13:13" s="185" customFormat="1" x14ac:dyDescent="0.3">
      <c r="M1664"/>
    </row>
    <row r="1665" spans="13:13" s="185" customFormat="1" x14ac:dyDescent="0.3">
      <c r="M1665"/>
    </row>
    <row r="1666" spans="13:13" s="185" customFormat="1" x14ac:dyDescent="0.3">
      <c r="M1666"/>
    </row>
    <row r="1667" spans="13:13" s="185" customFormat="1" x14ac:dyDescent="0.3">
      <c r="M1667"/>
    </row>
    <row r="1668" spans="13:13" s="185" customFormat="1" x14ac:dyDescent="0.3">
      <c r="M1668"/>
    </row>
    <row r="1669" spans="13:13" s="185" customFormat="1" x14ac:dyDescent="0.3">
      <c r="M1669"/>
    </row>
    <row r="1670" spans="13:13" s="185" customFormat="1" x14ac:dyDescent="0.3">
      <c r="M1670"/>
    </row>
    <row r="1671" spans="13:13" s="185" customFormat="1" x14ac:dyDescent="0.3">
      <c r="M1671"/>
    </row>
    <row r="1672" spans="13:13" s="185" customFormat="1" x14ac:dyDescent="0.3">
      <c r="M1672"/>
    </row>
    <row r="1673" spans="13:13" s="185" customFormat="1" x14ac:dyDescent="0.3">
      <c r="M1673"/>
    </row>
    <row r="1674" spans="13:13" s="185" customFormat="1" x14ac:dyDescent="0.3">
      <c r="M1674"/>
    </row>
    <row r="1675" spans="13:13" s="185" customFormat="1" x14ac:dyDescent="0.3">
      <c r="M1675"/>
    </row>
    <row r="1676" spans="13:13" s="185" customFormat="1" x14ac:dyDescent="0.3">
      <c r="M1676"/>
    </row>
    <row r="1677" spans="13:13" s="185" customFormat="1" x14ac:dyDescent="0.3">
      <c r="M1677"/>
    </row>
    <row r="1678" spans="13:13" s="185" customFormat="1" x14ac:dyDescent="0.3">
      <c r="M1678"/>
    </row>
    <row r="1679" spans="13:13" s="185" customFormat="1" x14ac:dyDescent="0.3">
      <c r="M1679"/>
    </row>
    <row r="1680" spans="13:13" s="185" customFormat="1" x14ac:dyDescent="0.3">
      <c r="M1680"/>
    </row>
    <row r="1681" spans="13:13" s="185" customFormat="1" x14ac:dyDescent="0.3">
      <c r="M1681"/>
    </row>
    <row r="1682" spans="13:13" s="185" customFormat="1" x14ac:dyDescent="0.3">
      <c r="M1682"/>
    </row>
    <row r="1683" spans="13:13" s="185" customFormat="1" x14ac:dyDescent="0.3">
      <c r="M1683"/>
    </row>
    <row r="1684" spans="13:13" s="185" customFormat="1" x14ac:dyDescent="0.3">
      <c r="M1684"/>
    </row>
    <row r="1685" spans="13:13" s="185" customFormat="1" x14ac:dyDescent="0.3">
      <c r="M1685"/>
    </row>
    <row r="1686" spans="13:13" s="185" customFormat="1" x14ac:dyDescent="0.3">
      <c r="M1686"/>
    </row>
    <row r="1687" spans="13:13" s="185" customFormat="1" x14ac:dyDescent="0.3">
      <c r="M1687"/>
    </row>
    <row r="1688" spans="13:13" s="185" customFormat="1" x14ac:dyDescent="0.3">
      <c r="M1688"/>
    </row>
    <row r="1689" spans="13:13" s="185" customFormat="1" x14ac:dyDescent="0.3">
      <c r="M1689"/>
    </row>
    <row r="1690" spans="13:13" s="185" customFormat="1" x14ac:dyDescent="0.3">
      <c r="M1690"/>
    </row>
    <row r="1691" spans="13:13" s="185" customFormat="1" x14ac:dyDescent="0.3">
      <c r="M1691"/>
    </row>
    <row r="1692" spans="13:13" s="185" customFormat="1" x14ac:dyDescent="0.3">
      <c r="M1692"/>
    </row>
    <row r="1693" spans="13:13" s="185" customFormat="1" x14ac:dyDescent="0.3">
      <c r="M1693"/>
    </row>
    <row r="1694" spans="13:13" s="185" customFormat="1" x14ac:dyDescent="0.3">
      <c r="M1694"/>
    </row>
    <row r="1695" spans="13:13" s="185" customFormat="1" x14ac:dyDescent="0.3">
      <c r="M1695"/>
    </row>
    <row r="1696" spans="13:13" s="185" customFormat="1" x14ac:dyDescent="0.3">
      <c r="M1696"/>
    </row>
    <row r="1697" spans="13:13" s="185" customFormat="1" x14ac:dyDescent="0.3">
      <c r="M1697"/>
    </row>
    <row r="1698" spans="13:13" s="185" customFormat="1" x14ac:dyDescent="0.3">
      <c r="M1698"/>
    </row>
    <row r="1699" spans="13:13" s="185" customFormat="1" x14ac:dyDescent="0.3">
      <c r="M1699"/>
    </row>
    <row r="1700" spans="13:13" s="185" customFormat="1" x14ac:dyDescent="0.3">
      <c r="M1700"/>
    </row>
    <row r="1701" spans="13:13" s="185" customFormat="1" x14ac:dyDescent="0.3">
      <c r="M1701"/>
    </row>
    <row r="1702" spans="13:13" s="185" customFormat="1" x14ac:dyDescent="0.3">
      <c r="M1702"/>
    </row>
    <row r="1703" spans="13:13" s="185" customFormat="1" x14ac:dyDescent="0.3">
      <c r="M1703"/>
    </row>
    <row r="1704" spans="13:13" s="185" customFormat="1" x14ac:dyDescent="0.3">
      <c r="M1704"/>
    </row>
    <row r="1705" spans="13:13" s="185" customFormat="1" x14ac:dyDescent="0.3">
      <c r="M1705"/>
    </row>
    <row r="1706" spans="13:13" s="185" customFormat="1" x14ac:dyDescent="0.3">
      <c r="M1706"/>
    </row>
    <row r="1707" spans="13:13" s="185" customFormat="1" x14ac:dyDescent="0.3">
      <c r="M1707"/>
    </row>
    <row r="1708" spans="13:13" s="185" customFormat="1" x14ac:dyDescent="0.3">
      <c r="M1708"/>
    </row>
    <row r="1709" spans="13:13" s="185" customFormat="1" x14ac:dyDescent="0.3">
      <c r="M1709"/>
    </row>
    <row r="1710" spans="13:13" s="185" customFormat="1" x14ac:dyDescent="0.3">
      <c r="M1710"/>
    </row>
    <row r="1711" spans="13:13" s="185" customFormat="1" x14ac:dyDescent="0.3">
      <c r="M1711"/>
    </row>
    <row r="1712" spans="13:13" s="185" customFormat="1" x14ac:dyDescent="0.3">
      <c r="M1712"/>
    </row>
    <row r="1713" spans="13:13" s="185" customFormat="1" x14ac:dyDescent="0.3">
      <c r="M1713"/>
    </row>
    <row r="1714" spans="13:13" s="185" customFormat="1" x14ac:dyDescent="0.3">
      <c r="M1714"/>
    </row>
    <row r="1715" spans="13:13" s="185" customFormat="1" x14ac:dyDescent="0.3">
      <c r="M1715"/>
    </row>
    <row r="1716" spans="13:13" s="185" customFormat="1" x14ac:dyDescent="0.3">
      <c r="M1716"/>
    </row>
    <row r="1717" spans="13:13" s="185" customFormat="1" x14ac:dyDescent="0.3">
      <c r="M1717"/>
    </row>
    <row r="1718" spans="13:13" s="185" customFormat="1" x14ac:dyDescent="0.3">
      <c r="M1718"/>
    </row>
    <row r="1719" spans="13:13" s="185" customFormat="1" x14ac:dyDescent="0.3">
      <c r="M1719"/>
    </row>
    <row r="1720" spans="13:13" s="185" customFormat="1" x14ac:dyDescent="0.3">
      <c r="M1720"/>
    </row>
    <row r="1721" spans="13:13" s="185" customFormat="1" x14ac:dyDescent="0.3">
      <c r="M1721"/>
    </row>
    <row r="1722" spans="13:13" s="185" customFormat="1" x14ac:dyDescent="0.3">
      <c r="M1722"/>
    </row>
    <row r="1723" spans="13:13" s="185" customFormat="1" x14ac:dyDescent="0.3">
      <c r="M1723"/>
    </row>
    <row r="1724" spans="13:13" s="185" customFormat="1" x14ac:dyDescent="0.3">
      <c r="M1724"/>
    </row>
    <row r="1725" spans="13:13" s="185" customFormat="1" x14ac:dyDescent="0.3">
      <c r="M1725"/>
    </row>
    <row r="1726" spans="13:13" s="185" customFormat="1" x14ac:dyDescent="0.3">
      <c r="M1726"/>
    </row>
    <row r="1727" spans="13:13" s="185" customFormat="1" x14ac:dyDescent="0.3">
      <c r="M1727"/>
    </row>
    <row r="1728" spans="13:13" s="185" customFormat="1" x14ac:dyDescent="0.3">
      <c r="M1728"/>
    </row>
    <row r="1729" spans="13:13" s="185" customFormat="1" x14ac:dyDescent="0.3">
      <c r="M1729"/>
    </row>
    <row r="1730" spans="13:13" s="185" customFormat="1" x14ac:dyDescent="0.3">
      <c r="M1730"/>
    </row>
    <row r="1731" spans="13:13" s="185" customFormat="1" x14ac:dyDescent="0.3">
      <c r="M1731"/>
    </row>
    <row r="1732" spans="13:13" s="185" customFormat="1" x14ac:dyDescent="0.3">
      <c r="M1732"/>
    </row>
    <row r="1733" spans="13:13" s="185" customFormat="1" x14ac:dyDescent="0.3">
      <c r="M1733"/>
    </row>
    <row r="1734" spans="13:13" s="185" customFormat="1" x14ac:dyDescent="0.3">
      <c r="M1734"/>
    </row>
    <row r="1735" spans="13:13" s="185" customFormat="1" x14ac:dyDescent="0.3">
      <c r="M1735"/>
    </row>
    <row r="1736" spans="13:13" s="185" customFormat="1" x14ac:dyDescent="0.3">
      <c r="M1736"/>
    </row>
    <row r="1737" spans="13:13" s="185" customFormat="1" x14ac:dyDescent="0.3">
      <c r="M1737"/>
    </row>
    <row r="1738" spans="13:13" s="185" customFormat="1" x14ac:dyDescent="0.3">
      <c r="M1738"/>
    </row>
    <row r="1739" spans="13:13" s="185" customFormat="1" x14ac:dyDescent="0.3">
      <c r="M1739"/>
    </row>
    <row r="1740" spans="13:13" s="185" customFormat="1" x14ac:dyDescent="0.3">
      <c r="M1740"/>
    </row>
    <row r="1741" spans="13:13" s="185" customFormat="1" x14ac:dyDescent="0.3">
      <c r="M1741"/>
    </row>
    <row r="1742" spans="13:13" s="185" customFormat="1" x14ac:dyDescent="0.3">
      <c r="M1742"/>
    </row>
    <row r="1743" spans="13:13" s="185" customFormat="1" x14ac:dyDescent="0.3">
      <c r="M1743"/>
    </row>
    <row r="1744" spans="13:13" s="185" customFormat="1" x14ac:dyDescent="0.3">
      <c r="M1744"/>
    </row>
    <row r="1745" spans="13:13" s="185" customFormat="1" x14ac:dyDescent="0.3">
      <c r="M1745"/>
    </row>
    <row r="1746" spans="13:13" s="185" customFormat="1" x14ac:dyDescent="0.3">
      <c r="M1746"/>
    </row>
    <row r="1747" spans="13:13" s="185" customFormat="1" x14ac:dyDescent="0.3">
      <c r="M1747"/>
    </row>
    <row r="1748" spans="13:13" s="185" customFormat="1" x14ac:dyDescent="0.3">
      <c r="M1748"/>
    </row>
    <row r="1749" spans="13:13" s="185" customFormat="1" x14ac:dyDescent="0.3">
      <c r="M1749"/>
    </row>
    <row r="1750" spans="13:13" s="185" customFormat="1" x14ac:dyDescent="0.3">
      <c r="M1750"/>
    </row>
    <row r="1751" spans="13:13" s="185" customFormat="1" x14ac:dyDescent="0.3">
      <c r="M1751"/>
    </row>
    <row r="1752" spans="13:13" s="185" customFormat="1" x14ac:dyDescent="0.3">
      <c r="M1752"/>
    </row>
    <row r="1753" spans="13:13" s="185" customFormat="1" x14ac:dyDescent="0.3">
      <c r="M1753"/>
    </row>
    <row r="1754" spans="13:13" s="185" customFormat="1" x14ac:dyDescent="0.3">
      <c r="M1754"/>
    </row>
    <row r="1755" spans="13:13" s="185" customFormat="1" x14ac:dyDescent="0.3">
      <c r="M1755"/>
    </row>
    <row r="1756" spans="13:13" s="185" customFormat="1" x14ac:dyDescent="0.3">
      <c r="M1756"/>
    </row>
    <row r="1757" spans="13:13" s="185" customFormat="1" x14ac:dyDescent="0.3">
      <c r="M1757"/>
    </row>
    <row r="1758" spans="13:13" s="185" customFormat="1" x14ac:dyDescent="0.3">
      <c r="M1758"/>
    </row>
    <row r="1759" spans="13:13" s="185" customFormat="1" x14ac:dyDescent="0.3">
      <c r="M1759"/>
    </row>
    <row r="1760" spans="13:13" s="185" customFormat="1" x14ac:dyDescent="0.3">
      <c r="M1760"/>
    </row>
    <row r="1761" spans="13:13" s="185" customFormat="1" x14ac:dyDescent="0.3">
      <c r="M1761"/>
    </row>
    <row r="1762" spans="13:13" s="185" customFormat="1" x14ac:dyDescent="0.3">
      <c r="M1762"/>
    </row>
    <row r="1763" spans="13:13" s="185" customFormat="1" x14ac:dyDescent="0.3">
      <c r="M1763"/>
    </row>
    <row r="1764" spans="13:13" s="185" customFormat="1" x14ac:dyDescent="0.3">
      <c r="M1764"/>
    </row>
    <row r="1765" spans="13:13" s="185" customFormat="1" x14ac:dyDescent="0.3">
      <c r="M1765"/>
    </row>
    <row r="1766" spans="13:13" s="185" customFormat="1" x14ac:dyDescent="0.3">
      <c r="M1766"/>
    </row>
    <row r="1767" spans="13:13" s="185" customFormat="1" x14ac:dyDescent="0.3">
      <c r="M1767"/>
    </row>
    <row r="1768" spans="13:13" s="185" customFormat="1" x14ac:dyDescent="0.3">
      <c r="M1768"/>
    </row>
    <row r="1769" spans="13:13" s="185" customFormat="1" x14ac:dyDescent="0.3">
      <c r="M1769"/>
    </row>
    <row r="1770" spans="13:13" s="185" customFormat="1" x14ac:dyDescent="0.3">
      <c r="M1770"/>
    </row>
    <row r="1771" spans="13:13" s="185" customFormat="1" x14ac:dyDescent="0.3">
      <c r="M1771"/>
    </row>
    <row r="1772" spans="13:13" s="185" customFormat="1" x14ac:dyDescent="0.3">
      <c r="M1772"/>
    </row>
    <row r="1773" spans="13:13" s="185" customFormat="1" x14ac:dyDescent="0.3">
      <c r="M1773"/>
    </row>
    <row r="1774" spans="13:13" s="185" customFormat="1" x14ac:dyDescent="0.3">
      <c r="M1774"/>
    </row>
    <row r="1775" spans="13:13" s="185" customFormat="1" x14ac:dyDescent="0.3">
      <c r="M1775"/>
    </row>
    <row r="1776" spans="13:13" s="185" customFormat="1" x14ac:dyDescent="0.3">
      <c r="M1776"/>
    </row>
    <row r="1777" spans="13:13" s="185" customFormat="1" x14ac:dyDescent="0.3">
      <c r="M1777"/>
    </row>
    <row r="1778" spans="13:13" s="185" customFormat="1" x14ac:dyDescent="0.3">
      <c r="M1778"/>
    </row>
    <row r="1779" spans="13:13" s="185" customFormat="1" x14ac:dyDescent="0.3">
      <c r="M1779"/>
    </row>
    <row r="1780" spans="13:13" s="185" customFormat="1" x14ac:dyDescent="0.3">
      <c r="M1780"/>
    </row>
    <row r="1781" spans="13:13" s="185" customFormat="1" x14ac:dyDescent="0.3">
      <c r="M1781"/>
    </row>
    <row r="1782" spans="13:13" s="185" customFormat="1" x14ac:dyDescent="0.3">
      <c r="M1782"/>
    </row>
    <row r="1783" spans="13:13" s="185" customFormat="1" x14ac:dyDescent="0.3">
      <c r="M1783"/>
    </row>
    <row r="1784" spans="13:13" s="185" customFormat="1" x14ac:dyDescent="0.3">
      <c r="M1784"/>
    </row>
    <row r="1785" spans="13:13" s="185" customFormat="1" x14ac:dyDescent="0.3">
      <c r="M1785"/>
    </row>
    <row r="1786" spans="13:13" s="185" customFormat="1" x14ac:dyDescent="0.3">
      <c r="M1786"/>
    </row>
    <row r="1787" spans="13:13" s="185" customFormat="1" x14ac:dyDescent="0.3">
      <c r="M1787"/>
    </row>
    <row r="1788" spans="13:13" s="185" customFormat="1" x14ac:dyDescent="0.3">
      <c r="M1788"/>
    </row>
    <row r="1789" spans="13:13" s="185" customFormat="1" x14ac:dyDescent="0.3">
      <c r="M1789"/>
    </row>
    <row r="1790" spans="13:13" s="185" customFormat="1" x14ac:dyDescent="0.3">
      <c r="M1790"/>
    </row>
    <row r="1791" spans="13:13" s="185" customFormat="1" x14ac:dyDescent="0.3">
      <c r="M1791"/>
    </row>
    <row r="1792" spans="13:13" s="185" customFormat="1" x14ac:dyDescent="0.3">
      <c r="M1792"/>
    </row>
    <row r="1793" spans="13:13" s="185" customFormat="1" x14ac:dyDescent="0.3">
      <c r="M1793"/>
    </row>
    <row r="1794" spans="13:13" s="185" customFormat="1" x14ac:dyDescent="0.3">
      <c r="M1794"/>
    </row>
    <row r="1795" spans="13:13" s="185" customFormat="1" x14ac:dyDescent="0.3">
      <c r="M1795"/>
    </row>
    <row r="1796" spans="13:13" s="185" customFormat="1" x14ac:dyDescent="0.3">
      <c r="M1796"/>
    </row>
    <row r="1797" spans="13:13" s="185" customFormat="1" x14ac:dyDescent="0.3">
      <c r="M1797"/>
    </row>
    <row r="1798" spans="13:13" s="185" customFormat="1" x14ac:dyDescent="0.3">
      <c r="M1798"/>
    </row>
    <row r="1799" spans="13:13" s="185" customFormat="1" x14ac:dyDescent="0.3">
      <c r="M1799"/>
    </row>
    <row r="1800" spans="13:13" s="185" customFormat="1" x14ac:dyDescent="0.3">
      <c r="M1800"/>
    </row>
    <row r="1801" spans="13:13" s="185" customFormat="1" x14ac:dyDescent="0.3">
      <c r="M1801"/>
    </row>
    <row r="1802" spans="13:13" s="185" customFormat="1" x14ac:dyDescent="0.3">
      <c r="M1802"/>
    </row>
    <row r="1803" spans="13:13" s="185" customFormat="1" x14ac:dyDescent="0.3">
      <c r="M1803"/>
    </row>
    <row r="1804" spans="13:13" s="185" customFormat="1" x14ac:dyDescent="0.3">
      <c r="M1804"/>
    </row>
    <row r="1805" spans="13:13" s="185" customFormat="1" x14ac:dyDescent="0.3">
      <c r="M1805"/>
    </row>
    <row r="1806" spans="13:13" s="185" customFormat="1" x14ac:dyDescent="0.3">
      <c r="M1806"/>
    </row>
    <row r="1807" spans="13:13" s="185" customFormat="1" x14ac:dyDescent="0.3">
      <c r="M1807"/>
    </row>
    <row r="1808" spans="13:13" s="185" customFormat="1" x14ac:dyDescent="0.3">
      <c r="M1808"/>
    </row>
    <row r="1809" spans="13:13" s="185" customFormat="1" x14ac:dyDescent="0.3">
      <c r="M1809"/>
    </row>
    <row r="1810" spans="13:13" s="185" customFormat="1" x14ac:dyDescent="0.3">
      <c r="M1810"/>
    </row>
    <row r="1811" spans="13:13" s="185" customFormat="1" x14ac:dyDescent="0.3">
      <c r="M1811"/>
    </row>
    <row r="1812" spans="13:13" s="185" customFormat="1" x14ac:dyDescent="0.3">
      <c r="M1812"/>
    </row>
    <row r="1813" spans="13:13" s="185" customFormat="1" x14ac:dyDescent="0.3">
      <c r="M1813"/>
    </row>
    <row r="1814" spans="13:13" s="185" customFormat="1" x14ac:dyDescent="0.3">
      <c r="M1814"/>
    </row>
    <row r="1815" spans="13:13" s="185" customFormat="1" x14ac:dyDescent="0.3">
      <c r="M1815"/>
    </row>
    <row r="1816" spans="13:13" s="185" customFormat="1" x14ac:dyDescent="0.3">
      <c r="M1816"/>
    </row>
    <row r="1817" spans="13:13" s="185" customFormat="1" x14ac:dyDescent="0.3">
      <c r="M1817"/>
    </row>
    <row r="1818" spans="13:13" s="185" customFormat="1" x14ac:dyDescent="0.3">
      <c r="M1818"/>
    </row>
    <row r="1819" spans="13:13" s="185" customFormat="1" x14ac:dyDescent="0.3">
      <c r="M1819"/>
    </row>
    <row r="1820" spans="13:13" s="185" customFormat="1" x14ac:dyDescent="0.3">
      <c r="M1820"/>
    </row>
    <row r="1821" spans="13:13" s="185" customFormat="1" x14ac:dyDescent="0.3">
      <c r="M1821"/>
    </row>
    <row r="1822" spans="13:13" s="185" customFormat="1" x14ac:dyDescent="0.3">
      <c r="M1822"/>
    </row>
    <row r="1823" spans="13:13" s="185" customFormat="1" x14ac:dyDescent="0.3">
      <c r="M1823"/>
    </row>
    <row r="1824" spans="13:13" s="185" customFormat="1" x14ac:dyDescent="0.3">
      <c r="M1824"/>
    </row>
    <row r="1825" spans="13:13" s="185" customFormat="1" x14ac:dyDescent="0.3">
      <c r="M1825"/>
    </row>
    <row r="1826" spans="13:13" s="185" customFormat="1" x14ac:dyDescent="0.3">
      <c r="M1826"/>
    </row>
    <row r="1827" spans="13:13" s="185" customFormat="1" x14ac:dyDescent="0.3">
      <c r="M1827"/>
    </row>
    <row r="1828" spans="13:13" s="185" customFormat="1" x14ac:dyDescent="0.3">
      <c r="M1828"/>
    </row>
    <row r="1829" spans="13:13" s="185" customFormat="1" x14ac:dyDescent="0.3">
      <c r="M1829"/>
    </row>
    <row r="1830" spans="13:13" s="185" customFormat="1" x14ac:dyDescent="0.3">
      <c r="M1830"/>
    </row>
    <row r="1831" spans="13:13" s="185" customFormat="1" x14ac:dyDescent="0.3">
      <c r="M1831"/>
    </row>
    <row r="1832" spans="13:13" s="185" customFormat="1" x14ac:dyDescent="0.3">
      <c r="M1832"/>
    </row>
    <row r="1833" spans="13:13" s="185" customFormat="1" x14ac:dyDescent="0.3">
      <c r="M1833"/>
    </row>
    <row r="1834" spans="13:13" s="185" customFormat="1" x14ac:dyDescent="0.3">
      <c r="M1834"/>
    </row>
    <row r="1835" spans="13:13" s="185" customFormat="1" x14ac:dyDescent="0.3">
      <c r="M1835"/>
    </row>
    <row r="1836" spans="13:13" s="185" customFormat="1" x14ac:dyDescent="0.3">
      <c r="M1836"/>
    </row>
    <row r="1837" spans="13:13" s="185" customFormat="1" x14ac:dyDescent="0.3">
      <c r="M1837"/>
    </row>
    <row r="1838" spans="13:13" s="185" customFormat="1" x14ac:dyDescent="0.3">
      <c r="M1838"/>
    </row>
    <row r="1839" spans="13:13" s="185" customFormat="1" x14ac:dyDescent="0.3">
      <c r="M1839"/>
    </row>
    <row r="1840" spans="13:13" s="185" customFormat="1" x14ac:dyDescent="0.3">
      <c r="M1840"/>
    </row>
    <row r="1841" spans="13:13" s="185" customFormat="1" x14ac:dyDescent="0.3">
      <c r="M1841"/>
    </row>
    <row r="1842" spans="13:13" s="185" customFormat="1" x14ac:dyDescent="0.3">
      <c r="M1842"/>
    </row>
    <row r="1843" spans="13:13" s="185" customFormat="1" x14ac:dyDescent="0.3">
      <c r="M1843"/>
    </row>
    <row r="1844" spans="13:13" s="185" customFormat="1" x14ac:dyDescent="0.3">
      <c r="M1844"/>
    </row>
    <row r="1845" spans="13:13" s="185" customFormat="1" x14ac:dyDescent="0.3">
      <c r="M1845"/>
    </row>
    <row r="1846" spans="13:13" s="185" customFormat="1" x14ac:dyDescent="0.3">
      <c r="M1846"/>
    </row>
    <row r="1847" spans="13:13" s="185" customFormat="1" x14ac:dyDescent="0.3">
      <c r="M1847"/>
    </row>
    <row r="1848" spans="13:13" s="185" customFormat="1" x14ac:dyDescent="0.3">
      <c r="M1848"/>
    </row>
    <row r="1849" spans="13:13" s="185" customFormat="1" x14ac:dyDescent="0.3">
      <c r="M1849"/>
    </row>
    <row r="1850" spans="13:13" s="185" customFormat="1" x14ac:dyDescent="0.3">
      <c r="M1850"/>
    </row>
    <row r="1851" spans="13:13" s="185" customFormat="1" x14ac:dyDescent="0.3">
      <c r="M1851"/>
    </row>
    <row r="1852" spans="13:13" s="185" customFormat="1" x14ac:dyDescent="0.3">
      <c r="M1852"/>
    </row>
    <row r="1853" spans="13:13" s="185" customFormat="1" x14ac:dyDescent="0.3">
      <c r="M1853"/>
    </row>
    <row r="1854" spans="13:13" s="185" customFormat="1" x14ac:dyDescent="0.3">
      <c r="M1854"/>
    </row>
    <row r="1855" spans="13:13" s="185" customFormat="1" x14ac:dyDescent="0.3">
      <c r="M1855"/>
    </row>
    <row r="1856" spans="13:13" s="185" customFormat="1" x14ac:dyDescent="0.3">
      <c r="M1856"/>
    </row>
    <row r="1857" spans="13:13" s="185" customFormat="1" x14ac:dyDescent="0.3">
      <c r="M1857"/>
    </row>
    <row r="1858" spans="13:13" s="185" customFormat="1" x14ac:dyDescent="0.3">
      <c r="M1858"/>
    </row>
    <row r="1859" spans="13:13" s="185" customFormat="1" x14ac:dyDescent="0.3">
      <c r="M1859"/>
    </row>
    <row r="1860" spans="13:13" s="185" customFormat="1" x14ac:dyDescent="0.3">
      <c r="M1860"/>
    </row>
    <row r="1861" spans="13:13" s="185" customFormat="1" x14ac:dyDescent="0.3">
      <c r="M1861"/>
    </row>
    <row r="1862" spans="13:13" s="185" customFormat="1" x14ac:dyDescent="0.3">
      <c r="M1862"/>
    </row>
    <row r="1863" spans="13:13" s="185" customFormat="1" x14ac:dyDescent="0.3">
      <c r="M1863"/>
    </row>
    <row r="1864" spans="13:13" s="185" customFormat="1" x14ac:dyDescent="0.3">
      <c r="M1864"/>
    </row>
    <row r="1865" spans="13:13" s="185" customFormat="1" x14ac:dyDescent="0.3">
      <c r="M1865"/>
    </row>
    <row r="1866" spans="13:13" s="185" customFormat="1" x14ac:dyDescent="0.3">
      <c r="M1866"/>
    </row>
    <row r="1867" spans="13:13" s="185" customFormat="1" x14ac:dyDescent="0.3">
      <c r="M1867"/>
    </row>
    <row r="1868" spans="13:13" s="185" customFormat="1" x14ac:dyDescent="0.3">
      <c r="M1868"/>
    </row>
    <row r="1869" spans="13:13" s="185" customFormat="1" x14ac:dyDescent="0.3">
      <c r="M1869"/>
    </row>
    <row r="1870" spans="13:13" s="185" customFormat="1" x14ac:dyDescent="0.3">
      <c r="M1870"/>
    </row>
    <row r="1871" spans="13:13" s="185" customFormat="1" x14ac:dyDescent="0.3">
      <c r="M1871"/>
    </row>
    <row r="1872" spans="13:13" s="185" customFormat="1" x14ac:dyDescent="0.3">
      <c r="M1872"/>
    </row>
    <row r="1873" spans="13:13" s="185" customFormat="1" x14ac:dyDescent="0.3">
      <c r="M1873"/>
    </row>
    <row r="1874" spans="13:13" s="185" customFormat="1" x14ac:dyDescent="0.3">
      <c r="M1874"/>
    </row>
    <row r="1875" spans="13:13" s="185" customFormat="1" x14ac:dyDescent="0.3">
      <c r="M1875"/>
    </row>
    <row r="1876" spans="13:13" s="185" customFormat="1" x14ac:dyDescent="0.3">
      <c r="M1876"/>
    </row>
    <row r="1877" spans="13:13" s="185" customFormat="1" x14ac:dyDescent="0.3">
      <c r="M1877"/>
    </row>
    <row r="1878" spans="13:13" s="185" customFormat="1" x14ac:dyDescent="0.3">
      <c r="M1878"/>
    </row>
    <row r="1879" spans="13:13" s="185" customFormat="1" x14ac:dyDescent="0.3">
      <c r="M1879"/>
    </row>
    <row r="1880" spans="13:13" s="185" customFormat="1" x14ac:dyDescent="0.3">
      <c r="M1880"/>
    </row>
    <row r="1881" spans="13:13" s="185" customFormat="1" x14ac:dyDescent="0.3">
      <c r="M1881"/>
    </row>
    <row r="1882" spans="13:13" s="185" customFormat="1" x14ac:dyDescent="0.3">
      <c r="M1882"/>
    </row>
    <row r="1883" spans="13:13" s="185" customFormat="1" x14ac:dyDescent="0.3">
      <c r="M1883"/>
    </row>
    <row r="1884" spans="13:13" s="185" customFormat="1" x14ac:dyDescent="0.3">
      <c r="M1884"/>
    </row>
    <row r="1885" spans="13:13" s="185" customFormat="1" x14ac:dyDescent="0.3">
      <c r="M1885"/>
    </row>
    <row r="1886" spans="13:13" s="185" customFormat="1" x14ac:dyDescent="0.3">
      <c r="M1886"/>
    </row>
    <row r="1887" spans="13:13" s="185" customFormat="1" x14ac:dyDescent="0.3">
      <c r="M1887"/>
    </row>
    <row r="1888" spans="13:13" s="185" customFormat="1" x14ac:dyDescent="0.3">
      <c r="M1888"/>
    </row>
    <row r="1889" spans="13:13" s="185" customFormat="1" x14ac:dyDescent="0.3">
      <c r="M1889"/>
    </row>
    <row r="1890" spans="13:13" s="185" customFormat="1" x14ac:dyDescent="0.3">
      <c r="M1890"/>
    </row>
    <row r="1891" spans="13:13" s="185" customFormat="1" x14ac:dyDescent="0.3">
      <c r="M1891"/>
    </row>
    <row r="1892" spans="13:13" s="185" customFormat="1" x14ac:dyDescent="0.3">
      <c r="M1892"/>
    </row>
    <row r="1893" spans="13:13" s="185" customFormat="1" x14ac:dyDescent="0.3">
      <c r="M1893"/>
    </row>
    <row r="1894" spans="13:13" s="185" customFormat="1" x14ac:dyDescent="0.3">
      <c r="M1894"/>
    </row>
    <row r="1895" spans="13:13" s="185" customFormat="1" x14ac:dyDescent="0.3">
      <c r="M1895"/>
    </row>
    <row r="1896" spans="13:13" s="185" customFormat="1" x14ac:dyDescent="0.3">
      <c r="M1896"/>
    </row>
    <row r="1897" spans="13:13" s="185" customFormat="1" x14ac:dyDescent="0.3">
      <c r="M1897"/>
    </row>
    <row r="1898" spans="13:13" s="185" customFormat="1" x14ac:dyDescent="0.3">
      <c r="M1898"/>
    </row>
    <row r="1899" spans="13:13" s="185" customFormat="1" x14ac:dyDescent="0.3">
      <c r="M1899"/>
    </row>
    <row r="1900" spans="13:13" s="185" customFormat="1" x14ac:dyDescent="0.3">
      <c r="M1900"/>
    </row>
    <row r="1901" spans="13:13" s="185" customFormat="1" x14ac:dyDescent="0.3">
      <c r="M1901"/>
    </row>
    <row r="1902" spans="13:13" s="185" customFormat="1" x14ac:dyDescent="0.3">
      <c r="M1902"/>
    </row>
    <row r="1903" spans="13:13" s="185" customFormat="1" x14ac:dyDescent="0.3">
      <c r="M1903"/>
    </row>
    <row r="1904" spans="13:13" s="185" customFormat="1" x14ac:dyDescent="0.3">
      <c r="M1904"/>
    </row>
    <row r="1905" spans="13:13" s="185" customFormat="1" x14ac:dyDescent="0.3">
      <c r="M1905"/>
    </row>
    <row r="1906" spans="13:13" s="185" customFormat="1" x14ac:dyDescent="0.3">
      <c r="M1906"/>
    </row>
    <row r="1907" spans="13:13" s="185" customFormat="1" x14ac:dyDescent="0.3">
      <c r="M1907"/>
    </row>
    <row r="1908" spans="13:13" s="185" customFormat="1" x14ac:dyDescent="0.3">
      <c r="M1908"/>
    </row>
    <row r="1909" spans="13:13" s="185" customFormat="1" x14ac:dyDescent="0.3">
      <c r="M1909"/>
    </row>
    <row r="1910" spans="13:13" s="185" customFormat="1" x14ac:dyDescent="0.3">
      <c r="M1910"/>
    </row>
    <row r="1911" spans="13:13" s="185" customFormat="1" x14ac:dyDescent="0.3">
      <c r="M1911"/>
    </row>
    <row r="1912" spans="13:13" s="185" customFormat="1" x14ac:dyDescent="0.3">
      <c r="M1912"/>
    </row>
    <row r="1913" spans="13:13" s="185" customFormat="1" x14ac:dyDescent="0.3">
      <c r="M1913"/>
    </row>
    <row r="1914" spans="13:13" s="185" customFormat="1" x14ac:dyDescent="0.3">
      <c r="M1914"/>
    </row>
    <row r="1915" spans="13:13" s="185" customFormat="1" x14ac:dyDescent="0.3">
      <c r="M1915"/>
    </row>
    <row r="1916" spans="13:13" s="185" customFormat="1" x14ac:dyDescent="0.3">
      <c r="M1916"/>
    </row>
    <row r="1917" spans="13:13" s="185" customFormat="1" x14ac:dyDescent="0.3">
      <c r="M1917"/>
    </row>
    <row r="1918" spans="13:13" s="185" customFormat="1" x14ac:dyDescent="0.3">
      <c r="M1918"/>
    </row>
    <row r="1919" spans="13:13" s="185" customFormat="1" x14ac:dyDescent="0.3">
      <c r="M1919"/>
    </row>
    <row r="1920" spans="13:13" s="185" customFormat="1" x14ac:dyDescent="0.3">
      <c r="M1920"/>
    </row>
    <row r="1921" spans="13:13" s="185" customFormat="1" x14ac:dyDescent="0.3">
      <c r="M1921"/>
    </row>
    <row r="1922" spans="13:13" s="185" customFormat="1" x14ac:dyDescent="0.3">
      <c r="M1922"/>
    </row>
    <row r="1923" spans="13:13" s="185" customFormat="1" x14ac:dyDescent="0.3">
      <c r="M1923"/>
    </row>
    <row r="1924" spans="13:13" s="185" customFormat="1" x14ac:dyDescent="0.3">
      <c r="M1924"/>
    </row>
    <row r="1925" spans="13:13" s="185" customFormat="1" x14ac:dyDescent="0.3">
      <c r="M1925"/>
    </row>
    <row r="1926" spans="13:13" s="185" customFormat="1" x14ac:dyDescent="0.3">
      <c r="M1926"/>
    </row>
    <row r="1927" spans="13:13" s="185" customFormat="1" x14ac:dyDescent="0.3">
      <c r="M1927"/>
    </row>
    <row r="1928" spans="13:13" s="185" customFormat="1" x14ac:dyDescent="0.3">
      <c r="M1928"/>
    </row>
    <row r="1929" spans="13:13" s="185" customFormat="1" x14ac:dyDescent="0.3">
      <c r="M1929"/>
    </row>
    <row r="1930" spans="13:13" s="185" customFormat="1" x14ac:dyDescent="0.3">
      <c r="M1930"/>
    </row>
    <row r="1931" spans="13:13" s="185" customFormat="1" x14ac:dyDescent="0.3">
      <c r="M1931"/>
    </row>
    <row r="1932" spans="13:13" s="185" customFormat="1" x14ac:dyDescent="0.3">
      <c r="M1932"/>
    </row>
    <row r="1933" spans="13:13" s="185" customFormat="1" x14ac:dyDescent="0.3">
      <c r="M1933"/>
    </row>
    <row r="1934" spans="13:13" s="185" customFormat="1" x14ac:dyDescent="0.3">
      <c r="M1934"/>
    </row>
    <row r="1935" spans="13:13" s="185" customFormat="1" x14ac:dyDescent="0.3">
      <c r="M1935"/>
    </row>
    <row r="1936" spans="13:13" s="185" customFormat="1" x14ac:dyDescent="0.3">
      <c r="M1936"/>
    </row>
    <row r="1937" spans="13:13" s="185" customFormat="1" x14ac:dyDescent="0.3">
      <c r="M1937"/>
    </row>
    <row r="1938" spans="13:13" s="185" customFormat="1" x14ac:dyDescent="0.3">
      <c r="M1938"/>
    </row>
    <row r="1939" spans="13:13" s="185" customFormat="1" x14ac:dyDescent="0.3">
      <c r="M1939"/>
    </row>
    <row r="1940" spans="13:13" s="185" customFormat="1" x14ac:dyDescent="0.3">
      <c r="M1940"/>
    </row>
    <row r="1941" spans="13:13" s="185" customFormat="1" x14ac:dyDescent="0.3">
      <c r="M1941"/>
    </row>
    <row r="1942" spans="13:13" s="185" customFormat="1" x14ac:dyDescent="0.3">
      <c r="M1942"/>
    </row>
    <row r="1943" spans="13:13" s="185" customFormat="1" x14ac:dyDescent="0.3">
      <c r="M1943"/>
    </row>
    <row r="1944" spans="13:13" s="185" customFormat="1" x14ac:dyDescent="0.3">
      <c r="M1944"/>
    </row>
    <row r="1945" spans="13:13" s="185" customFormat="1" x14ac:dyDescent="0.3">
      <c r="M1945"/>
    </row>
    <row r="1946" spans="13:13" s="185" customFormat="1" x14ac:dyDescent="0.3">
      <c r="M1946"/>
    </row>
    <row r="1947" spans="13:13" s="185" customFormat="1" x14ac:dyDescent="0.3">
      <c r="M1947"/>
    </row>
    <row r="1948" spans="13:13" s="185" customFormat="1" x14ac:dyDescent="0.3">
      <c r="M1948"/>
    </row>
    <row r="1949" spans="13:13" s="185" customFormat="1" x14ac:dyDescent="0.3">
      <c r="M1949"/>
    </row>
    <row r="1950" spans="13:13" s="185" customFormat="1" x14ac:dyDescent="0.3">
      <c r="M1950"/>
    </row>
    <row r="1951" spans="13:13" s="185" customFormat="1" x14ac:dyDescent="0.3">
      <c r="M1951"/>
    </row>
    <row r="1952" spans="13:13" s="185" customFormat="1" x14ac:dyDescent="0.3">
      <c r="M1952"/>
    </row>
    <row r="1953" spans="13:13" s="185" customFormat="1" x14ac:dyDescent="0.3">
      <c r="M1953"/>
    </row>
    <row r="1954" spans="13:13" s="185" customFormat="1" x14ac:dyDescent="0.3">
      <c r="M1954"/>
    </row>
    <row r="1955" spans="13:13" s="185" customFormat="1" x14ac:dyDescent="0.3">
      <c r="M1955"/>
    </row>
    <row r="1956" spans="13:13" s="185" customFormat="1" x14ac:dyDescent="0.3">
      <c r="M1956"/>
    </row>
    <row r="1957" spans="13:13" s="185" customFormat="1" x14ac:dyDescent="0.3">
      <c r="M1957"/>
    </row>
    <row r="1958" spans="13:13" s="185" customFormat="1" x14ac:dyDescent="0.3">
      <c r="M1958"/>
    </row>
    <row r="1959" spans="13:13" s="185" customFormat="1" x14ac:dyDescent="0.3">
      <c r="M1959"/>
    </row>
    <row r="1960" spans="13:13" s="185" customFormat="1" x14ac:dyDescent="0.3">
      <c r="M1960"/>
    </row>
    <row r="1961" spans="13:13" s="185" customFormat="1" x14ac:dyDescent="0.3">
      <c r="M1961"/>
    </row>
    <row r="1962" spans="13:13" s="185" customFormat="1" x14ac:dyDescent="0.3">
      <c r="M1962"/>
    </row>
    <row r="1963" spans="13:13" s="185" customFormat="1" x14ac:dyDescent="0.3">
      <c r="M1963"/>
    </row>
    <row r="1964" spans="13:13" s="185" customFormat="1" x14ac:dyDescent="0.3">
      <c r="M1964"/>
    </row>
    <row r="1965" spans="13:13" s="185" customFormat="1" x14ac:dyDescent="0.3">
      <c r="M1965"/>
    </row>
    <row r="1966" spans="13:13" s="185" customFormat="1" x14ac:dyDescent="0.3">
      <c r="M1966"/>
    </row>
    <row r="1967" spans="13:13" s="185" customFormat="1" x14ac:dyDescent="0.3">
      <c r="M1967"/>
    </row>
    <row r="1968" spans="13:13" s="185" customFormat="1" x14ac:dyDescent="0.3">
      <c r="M1968"/>
    </row>
    <row r="1969" spans="13:13" s="185" customFormat="1" x14ac:dyDescent="0.3">
      <c r="M1969"/>
    </row>
    <row r="1970" spans="13:13" s="185" customFormat="1" x14ac:dyDescent="0.3">
      <c r="M1970"/>
    </row>
    <row r="1971" spans="13:13" s="185" customFormat="1" x14ac:dyDescent="0.3">
      <c r="M1971"/>
    </row>
    <row r="1972" spans="13:13" s="185" customFormat="1" x14ac:dyDescent="0.3">
      <c r="M1972"/>
    </row>
    <row r="1973" spans="13:13" s="185" customFormat="1" x14ac:dyDescent="0.3">
      <c r="M1973"/>
    </row>
    <row r="1974" spans="13:13" s="185" customFormat="1" x14ac:dyDescent="0.3">
      <c r="M1974"/>
    </row>
    <row r="1975" spans="13:13" s="185" customFormat="1" x14ac:dyDescent="0.3">
      <c r="M1975"/>
    </row>
    <row r="1976" spans="13:13" s="185" customFormat="1" x14ac:dyDescent="0.3">
      <c r="M1976"/>
    </row>
    <row r="1977" spans="13:13" s="185" customFormat="1" x14ac:dyDescent="0.3">
      <c r="M1977"/>
    </row>
    <row r="1978" spans="13:13" s="185" customFormat="1" x14ac:dyDescent="0.3">
      <c r="M1978"/>
    </row>
    <row r="1979" spans="13:13" s="185" customFormat="1" x14ac:dyDescent="0.3">
      <c r="M1979"/>
    </row>
    <row r="1980" spans="13:13" s="185" customFormat="1" x14ac:dyDescent="0.3">
      <c r="M1980"/>
    </row>
    <row r="1981" spans="13:13" s="185" customFormat="1" x14ac:dyDescent="0.3">
      <c r="M1981"/>
    </row>
    <row r="1982" spans="13:13" s="185" customFormat="1" x14ac:dyDescent="0.3">
      <c r="M1982"/>
    </row>
    <row r="1983" spans="13:13" s="185" customFormat="1" x14ac:dyDescent="0.3">
      <c r="M1983"/>
    </row>
    <row r="1984" spans="13:13" s="185" customFormat="1" x14ac:dyDescent="0.3">
      <c r="M1984"/>
    </row>
    <row r="1985" spans="13:13" s="185" customFormat="1" x14ac:dyDescent="0.3">
      <c r="M1985"/>
    </row>
    <row r="1986" spans="13:13" s="185" customFormat="1" x14ac:dyDescent="0.3">
      <c r="M1986"/>
    </row>
    <row r="1987" spans="13:13" s="185" customFormat="1" x14ac:dyDescent="0.3">
      <c r="M1987"/>
    </row>
    <row r="1988" spans="13:13" s="185" customFormat="1" x14ac:dyDescent="0.3">
      <c r="M1988"/>
    </row>
    <row r="1989" spans="13:13" s="185" customFormat="1" x14ac:dyDescent="0.3">
      <c r="M1989"/>
    </row>
    <row r="1990" spans="13:13" s="185" customFormat="1" x14ac:dyDescent="0.3">
      <c r="M1990"/>
    </row>
    <row r="1991" spans="13:13" s="185" customFormat="1" x14ac:dyDescent="0.3">
      <c r="M1991"/>
    </row>
    <row r="1992" spans="13:13" s="185" customFormat="1" x14ac:dyDescent="0.3">
      <c r="M1992"/>
    </row>
    <row r="1993" spans="13:13" s="185" customFormat="1" x14ac:dyDescent="0.3">
      <c r="M1993"/>
    </row>
    <row r="1994" spans="13:13" s="185" customFormat="1" x14ac:dyDescent="0.3">
      <c r="M1994"/>
    </row>
    <row r="1995" spans="13:13" s="185" customFormat="1" x14ac:dyDescent="0.3">
      <c r="M1995"/>
    </row>
    <row r="1996" spans="13:13" s="185" customFormat="1" x14ac:dyDescent="0.3">
      <c r="M1996"/>
    </row>
    <row r="1997" spans="13:13" s="185" customFormat="1" x14ac:dyDescent="0.3">
      <c r="M1997"/>
    </row>
    <row r="1998" spans="13:13" s="185" customFormat="1" x14ac:dyDescent="0.3">
      <c r="M1998"/>
    </row>
    <row r="1999" spans="13:13" s="185" customFormat="1" x14ac:dyDescent="0.3">
      <c r="M1999"/>
    </row>
    <row r="2000" spans="13:13" s="185" customFormat="1" x14ac:dyDescent="0.3">
      <c r="M2000"/>
    </row>
    <row r="2001" spans="13:13" s="185" customFormat="1" x14ac:dyDescent="0.3">
      <c r="M2001"/>
    </row>
    <row r="2002" spans="13:13" s="185" customFormat="1" x14ac:dyDescent="0.3">
      <c r="M2002"/>
    </row>
    <row r="2003" spans="13:13" s="185" customFormat="1" x14ac:dyDescent="0.3">
      <c r="M2003"/>
    </row>
    <row r="2004" spans="13:13" s="185" customFormat="1" x14ac:dyDescent="0.3">
      <c r="M2004"/>
    </row>
    <row r="2005" spans="13:13" s="185" customFormat="1" x14ac:dyDescent="0.3">
      <c r="M2005"/>
    </row>
    <row r="2006" spans="13:13" s="185" customFormat="1" x14ac:dyDescent="0.3">
      <c r="M2006"/>
    </row>
    <row r="2007" spans="13:13" s="185" customFormat="1" x14ac:dyDescent="0.3">
      <c r="M2007"/>
    </row>
    <row r="2008" spans="13:13" s="185" customFormat="1" x14ac:dyDescent="0.3">
      <c r="M2008"/>
    </row>
    <row r="2009" spans="13:13" s="185" customFormat="1" x14ac:dyDescent="0.3">
      <c r="M2009"/>
    </row>
    <row r="2010" spans="13:13" s="185" customFormat="1" x14ac:dyDescent="0.3">
      <c r="M2010"/>
    </row>
    <row r="2011" spans="13:13" s="185" customFormat="1" x14ac:dyDescent="0.3">
      <c r="M2011"/>
    </row>
    <row r="2012" spans="13:13" s="185" customFormat="1" x14ac:dyDescent="0.3">
      <c r="M2012"/>
    </row>
    <row r="2013" spans="13:13" s="185" customFormat="1" x14ac:dyDescent="0.3">
      <c r="M2013"/>
    </row>
    <row r="2014" spans="13:13" s="185" customFormat="1" x14ac:dyDescent="0.3">
      <c r="M2014"/>
    </row>
    <row r="2015" spans="13:13" s="185" customFormat="1" x14ac:dyDescent="0.3">
      <c r="M2015"/>
    </row>
    <row r="2016" spans="13:13" s="185" customFormat="1" x14ac:dyDescent="0.3">
      <c r="M2016"/>
    </row>
    <row r="2017" spans="13:13" s="185" customFormat="1" x14ac:dyDescent="0.3">
      <c r="M2017"/>
    </row>
    <row r="2018" spans="13:13" s="185" customFormat="1" x14ac:dyDescent="0.3">
      <c r="M2018"/>
    </row>
    <row r="2019" spans="13:13" s="185" customFormat="1" x14ac:dyDescent="0.3">
      <c r="M2019"/>
    </row>
    <row r="2020" spans="13:13" s="185" customFormat="1" x14ac:dyDescent="0.3">
      <c r="M2020"/>
    </row>
    <row r="2021" spans="13:13" s="185" customFormat="1" x14ac:dyDescent="0.3">
      <c r="M2021"/>
    </row>
    <row r="2022" spans="13:13" s="185" customFormat="1" x14ac:dyDescent="0.3">
      <c r="M2022"/>
    </row>
    <row r="2023" spans="13:13" s="185" customFormat="1" x14ac:dyDescent="0.3">
      <c r="M2023"/>
    </row>
    <row r="2024" spans="13:13" s="185" customFormat="1" x14ac:dyDescent="0.3">
      <c r="M2024"/>
    </row>
    <row r="2025" spans="13:13" s="185" customFormat="1" x14ac:dyDescent="0.3">
      <c r="M2025"/>
    </row>
    <row r="2026" spans="13:13" s="185" customFormat="1" x14ac:dyDescent="0.3">
      <c r="M2026"/>
    </row>
    <row r="2027" spans="13:13" s="185" customFormat="1" x14ac:dyDescent="0.3">
      <c r="M2027"/>
    </row>
    <row r="2028" spans="13:13" s="185" customFormat="1" x14ac:dyDescent="0.3">
      <c r="M2028"/>
    </row>
    <row r="2029" spans="13:13" s="185" customFormat="1" x14ac:dyDescent="0.3">
      <c r="M2029"/>
    </row>
    <row r="2030" spans="13:13" s="185" customFormat="1" x14ac:dyDescent="0.3">
      <c r="M2030"/>
    </row>
    <row r="2031" spans="13:13" s="185" customFormat="1" x14ac:dyDescent="0.3">
      <c r="M2031"/>
    </row>
    <row r="2032" spans="13:13" s="185" customFormat="1" x14ac:dyDescent="0.3">
      <c r="M2032"/>
    </row>
    <row r="2033" spans="13:13" s="185" customFormat="1" x14ac:dyDescent="0.3">
      <c r="M2033"/>
    </row>
    <row r="2034" spans="13:13" s="185" customFormat="1" x14ac:dyDescent="0.3">
      <c r="M2034"/>
    </row>
    <row r="2035" spans="13:13" s="185" customFormat="1" x14ac:dyDescent="0.3">
      <c r="M2035"/>
    </row>
    <row r="2036" spans="13:13" s="185" customFormat="1" x14ac:dyDescent="0.3">
      <c r="M2036"/>
    </row>
    <row r="2037" spans="13:13" s="185" customFormat="1" x14ac:dyDescent="0.3">
      <c r="M2037"/>
    </row>
    <row r="2038" spans="13:13" s="185" customFormat="1" x14ac:dyDescent="0.3">
      <c r="M2038"/>
    </row>
    <row r="2039" spans="13:13" s="185" customFormat="1" x14ac:dyDescent="0.3">
      <c r="M2039"/>
    </row>
    <row r="2040" spans="13:13" s="185" customFormat="1" x14ac:dyDescent="0.3">
      <c r="M2040"/>
    </row>
    <row r="2041" spans="13:13" s="185" customFormat="1" x14ac:dyDescent="0.3">
      <c r="M2041"/>
    </row>
    <row r="2042" spans="13:13" s="185" customFormat="1" x14ac:dyDescent="0.3">
      <c r="M2042"/>
    </row>
    <row r="2043" spans="13:13" s="185" customFormat="1" x14ac:dyDescent="0.3">
      <c r="M2043"/>
    </row>
    <row r="2044" spans="13:13" s="185" customFormat="1" x14ac:dyDescent="0.3">
      <c r="M2044"/>
    </row>
    <row r="2045" spans="13:13" s="185" customFormat="1" x14ac:dyDescent="0.3">
      <c r="M2045"/>
    </row>
    <row r="2046" spans="13:13" s="185" customFormat="1" x14ac:dyDescent="0.3">
      <c r="M2046"/>
    </row>
    <row r="2047" spans="13:13" s="185" customFormat="1" x14ac:dyDescent="0.3">
      <c r="M2047"/>
    </row>
    <row r="2048" spans="13:13" s="185" customFormat="1" x14ac:dyDescent="0.3">
      <c r="M2048"/>
    </row>
    <row r="2049" spans="13:13" s="185" customFormat="1" x14ac:dyDescent="0.3">
      <c r="M2049"/>
    </row>
    <row r="2050" spans="13:13" s="185" customFormat="1" x14ac:dyDescent="0.3">
      <c r="M2050"/>
    </row>
    <row r="2051" spans="13:13" s="185" customFormat="1" x14ac:dyDescent="0.3">
      <c r="M2051"/>
    </row>
    <row r="2052" spans="13:13" s="185" customFormat="1" x14ac:dyDescent="0.3">
      <c r="M2052"/>
    </row>
    <row r="2053" spans="13:13" s="185" customFormat="1" x14ac:dyDescent="0.3">
      <c r="M2053"/>
    </row>
    <row r="2054" spans="13:13" s="185" customFormat="1" x14ac:dyDescent="0.3">
      <c r="M2054"/>
    </row>
    <row r="2055" spans="13:13" s="185" customFormat="1" x14ac:dyDescent="0.3">
      <c r="M2055"/>
    </row>
    <row r="2056" spans="13:13" s="185" customFormat="1" x14ac:dyDescent="0.3">
      <c r="M2056"/>
    </row>
    <row r="2057" spans="13:13" s="185" customFormat="1" x14ac:dyDescent="0.3">
      <c r="M2057"/>
    </row>
    <row r="2058" spans="13:13" s="185" customFormat="1" x14ac:dyDescent="0.3">
      <c r="M2058"/>
    </row>
    <row r="2059" spans="13:13" s="185" customFormat="1" x14ac:dyDescent="0.3">
      <c r="M2059"/>
    </row>
    <row r="2060" spans="13:13" s="185" customFormat="1" x14ac:dyDescent="0.3">
      <c r="M2060"/>
    </row>
    <row r="2061" spans="13:13" s="185" customFormat="1" x14ac:dyDescent="0.3">
      <c r="M2061"/>
    </row>
    <row r="2062" spans="13:13" s="185" customFormat="1" x14ac:dyDescent="0.3">
      <c r="M2062"/>
    </row>
    <row r="2063" spans="13:13" s="185" customFormat="1" x14ac:dyDescent="0.3">
      <c r="M2063"/>
    </row>
    <row r="2064" spans="13:13" s="185" customFormat="1" x14ac:dyDescent="0.3">
      <c r="M2064"/>
    </row>
    <row r="2065" spans="13:13" s="185" customFormat="1" x14ac:dyDescent="0.3">
      <c r="M2065"/>
    </row>
    <row r="2066" spans="13:13" s="185" customFormat="1" x14ac:dyDescent="0.3">
      <c r="M2066"/>
    </row>
    <row r="2067" spans="13:13" s="185" customFormat="1" x14ac:dyDescent="0.3">
      <c r="M2067"/>
    </row>
    <row r="2068" spans="13:13" s="185" customFormat="1" x14ac:dyDescent="0.3">
      <c r="M2068"/>
    </row>
    <row r="2069" spans="13:13" s="185" customFormat="1" x14ac:dyDescent="0.3">
      <c r="M2069"/>
    </row>
    <row r="2070" spans="13:13" s="185" customFormat="1" x14ac:dyDescent="0.3">
      <c r="M2070"/>
    </row>
    <row r="2071" spans="13:13" s="185" customFormat="1" x14ac:dyDescent="0.3">
      <c r="M2071"/>
    </row>
    <row r="2072" spans="13:13" s="185" customFormat="1" x14ac:dyDescent="0.3">
      <c r="M2072"/>
    </row>
    <row r="2073" spans="13:13" s="185" customFormat="1" x14ac:dyDescent="0.3">
      <c r="M2073"/>
    </row>
    <row r="2074" spans="13:13" s="185" customFormat="1" x14ac:dyDescent="0.3">
      <c r="M2074"/>
    </row>
    <row r="2075" spans="13:13" s="185" customFormat="1" x14ac:dyDescent="0.3">
      <c r="M2075"/>
    </row>
    <row r="2076" spans="13:13" s="185" customFormat="1" x14ac:dyDescent="0.3">
      <c r="M2076"/>
    </row>
    <row r="2077" spans="13:13" s="185" customFormat="1" x14ac:dyDescent="0.3">
      <c r="M2077"/>
    </row>
    <row r="2078" spans="13:13" s="185" customFormat="1" x14ac:dyDescent="0.3">
      <c r="M2078"/>
    </row>
    <row r="2079" spans="13:13" s="185" customFormat="1" x14ac:dyDescent="0.3">
      <c r="M2079"/>
    </row>
    <row r="2080" spans="13:13" s="185" customFormat="1" x14ac:dyDescent="0.3">
      <c r="M2080"/>
    </row>
    <row r="2081" spans="13:13" s="185" customFormat="1" x14ac:dyDescent="0.3">
      <c r="M2081"/>
    </row>
    <row r="2082" spans="13:13" s="185" customFormat="1" x14ac:dyDescent="0.3">
      <c r="M2082"/>
    </row>
    <row r="2083" spans="13:13" s="185" customFormat="1" x14ac:dyDescent="0.3">
      <c r="M2083"/>
    </row>
    <row r="2084" spans="13:13" s="185" customFormat="1" x14ac:dyDescent="0.3">
      <c r="M2084"/>
    </row>
    <row r="2085" spans="13:13" s="185" customFormat="1" x14ac:dyDescent="0.3">
      <c r="M2085"/>
    </row>
    <row r="2086" spans="13:13" s="185" customFormat="1" x14ac:dyDescent="0.3">
      <c r="M2086"/>
    </row>
    <row r="2087" spans="13:13" s="185" customFormat="1" x14ac:dyDescent="0.3">
      <c r="M2087"/>
    </row>
    <row r="2088" spans="13:13" s="185" customFormat="1" x14ac:dyDescent="0.3">
      <c r="M2088"/>
    </row>
    <row r="2089" spans="13:13" s="185" customFormat="1" x14ac:dyDescent="0.3">
      <c r="M2089"/>
    </row>
    <row r="2090" spans="13:13" s="185" customFormat="1" x14ac:dyDescent="0.3">
      <c r="M2090"/>
    </row>
    <row r="2091" spans="13:13" s="185" customFormat="1" x14ac:dyDescent="0.3">
      <c r="M2091"/>
    </row>
    <row r="2092" spans="13:13" s="185" customFormat="1" x14ac:dyDescent="0.3">
      <c r="M2092"/>
    </row>
    <row r="2093" spans="13:13" s="185" customFormat="1" x14ac:dyDescent="0.3">
      <c r="M2093"/>
    </row>
    <row r="2094" spans="13:13" s="185" customFormat="1" x14ac:dyDescent="0.3">
      <c r="M2094"/>
    </row>
    <row r="2095" spans="13:13" s="185" customFormat="1" x14ac:dyDescent="0.3">
      <c r="M2095"/>
    </row>
    <row r="2096" spans="13:13" s="185" customFormat="1" x14ac:dyDescent="0.3">
      <c r="M2096"/>
    </row>
    <row r="2097" spans="13:13" s="185" customFormat="1" x14ac:dyDescent="0.3">
      <c r="M2097"/>
    </row>
    <row r="2098" spans="13:13" s="185" customFormat="1" x14ac:dyDescent="0.3">
      <c r="M2098"/>
    </row>
    <row r="2099" spans="13:13" s="185" customFormat="1" x14ac:dyDescent="0.3">
      <c r="M2099"/>
    </row>
    <row r="2100" spans="13:13" s="185" customFormat="1" x14ac:dyDescent="0.3">
      <c r="M2100"/>
    </row>
    <row r="2101" spans="13:13" s="185" customFormat="1" x14ac:dyDescent="0.3">
      <c r="M2101"/>
    </row>
    <row r="2102" spans="13:13" s="185" customFormat="1" x14ac:dyDescent="0.3">
      <c r="M2102"/>
    </row>
    <row r="2103" spans="13:13" s="185" customFormat="1" x14ac:dyDescent="0.3">
      <c r="M2103"/>
    </row>
    <row r="2104" spans="13:13" s="185" customFormat="1" x14ac:dyDescent="0.3">
      <c r="M2104"/>
    </row>
    <row r="2105" spans="13:13" s="185" customFormat="1" x14ac:dyDescent="0.3">
      <c r="M2105"/>
    </row>
    <row r="2106" spans="13:13" s="185" customFormat="1" x14ac:dyDescent="0.3">
      <c r="M2106"/>
    </row>
    <row r="2107" spans="13:13" s="185" customFormat="1" x14ac:dyDescent="0.3">
      <c r="M2107"/>
    </row>
    <row r="2108" spans="13:13" s="185" customFormat="1" x14ac:dyDescent="0.3">
      <c r="M2108"/>
    </row>
    <row r="2109" spans="13:13" s="185" customFormat="1" x14ac:dyDescent="0.3">
      <c r="M2109"/>
    </row>
    <row r="2110" spans="13:13" s="185" customFormat="1" x14ac:dyDescent="0.3">
      <c r="M2110"/>
    </row>
    <row r="2111" spans="13:13" s="185" customFormat="1" x14ac:dyDescent="0.3">
      <c r="M2111"/>
    </row>
    <row r="2112" spans="13:13" s="185" customFormat="1" x14ac:dyDescent="0.3">
      <c r="M2112"/>
    </row>
    <row r="2113" spans="13:13" s="185" customFormat="1" x14ac:dyDescent="0.3">
      <c r="M2113"/>
    </row>
    <row r="2114" spans="13:13" s="185" customFormat="1" x14ac:dyDescent="0.3">
      <c r="M2114"/>
    </row>
    <row r="2115" spans="13:13" s="185" customFormat="1" x14ac:dyDescent="0.3">
      <c r="M2115"/>
    </row>
    <row r="2116" spans="13:13" s="185" customFormat="1" x14ac:dyDescent="0.3">
      <c r="M2116"/>
    </row>
    <row r="2117" spans="13:13" s="185" customFormat="1" x14ac:dyDescent="0.3">
      <c r="M2117"/>
    </row>
    <row r="2118" spans="13:13" s="185" customFormat="1" x14ac:dyDescent="0.3">
      <c r="M2118"/>
    </row>
    <row r="2119" spans="13:13" s="185" customFormat="1" x14ac:dyDescent="0.3">
      <c r="M2119"/>
    </row>
    <row r="2120" spans="13:13" s="185" customFormat="1" x14ac:dyDescent="0.3">
      <c r="M2120"/>
    </row>
    <row r="2121" spans="13:13" s="185" customFormat="1" x14ac:dyDescent="0.3">
      <c r="M2121"/>
    </row>
    <row r="2122" spans="13:13" s="185" customFormat="1" x14ac:dyDescent="0.3">
      <c r="M2122"/>
    </row>
    <row r="2123" spans="13:13" s="185" customFormat="1" x14ac:dyDescent="0.3">
      <c r="M2123"/>
    </row>
    <row r="2124" spans="13:13" s="185" customFormat="1" x14ac:dyDescent="0.3">
      <c r="M2124"/>
    </row>
    <row r="2125" spans="13:13" s="185" customFormat="1" x14ac:dyDescent="0.3">
      <c r="M2125"/>
    </row>
    <row r="2126" spans="13:13" s="185" customFormat="1" x14ac:dyDescent="0.3">
      <c r="M2126"/>
    </row>
    <row r="2127" spans="13:13" s="185" customFormat="1" x14ac:dyDescent="0.3">
      <c r="M2127"/>
    </row>
    <row r="2128" spans="13:13" s="185" customFormat="1" x14ac:dyDescent="0.3">
      <c r="M2128"/>
    </row>
    <row r="2129" spans="13:13" s="185" customFormat="1" x14ac:dyDescent="0.3">
      <c r="M2129"/>
    </row>
    <row r="2130" spans="13:13" s="185" customFormat="1" x14ac:dyDescent="0.3">
      <c r="M2130"/>
    </row>
    <row r="2131" spans="13:13" s="185" customFormat="1" x14ac:dyDescent="0.3">
      <c r="M2131"/>
    </row>
    <row r="2132" spans="13:13" s="185" customFormat="1" x14ac:dyDescent="0.3">
      <c r="M2132"/>
    </row>
    <row r="2133" spans="13:13" s="185" customFormat="1" x14ac:dyDescent="0.3">
      <c r="M2133"/>
    </row>
    <row r="2134" spans="13:13" s="185" customFormat="1" x14ac:dyDescent="0.3">
      <c r="M2134"/>
    </row>
    <row r="2135" spans="13:13" s="185" customFormat="1" x14ac:dyDescent="0.3">
      <c r="M2135"/>
    </row>
    <row r="2136" spans="13:13" s="185" customFormat="1" x14ac:dyDescent="0.3">
      <c r="M2136"/>
    </row>
    <row r="2137" spans="13:13" s="185" customFormat="1" x14ac:dyDescent="0.3">
      <c r="M2137"/>
    </row>
    <row r="2138" spans="13:13" s="185" customFormat="1" x14ac:dyDescent="0.3">
      <c r="M2138"/>
    </row>
    <row r="2139" spans="13:13" s="185" customFormat="1" x14ac:dyDescent="0.3">
      <c r="M2139"/>
    </row>
    <row r="2140" spans="13:13" s="185" customFormat="1" x14ac:dyDescent="0.3">
      <c r="M2140"/>
    </row>
    <row r="2141" spans="13:13" s="185" customFormat="1" x14ac:dyDescent="0.3">
      <c r="M2141"/>
    </row>
    <row r="2142" spans="13:13" s="185" customFormat="1" x14ac:dyDescent="0.3">
      <c r="M2142"/>
    </row>
    <row r="2143" spans="13:13" s="185" customFormat="1" x14ac:dyDescent="0.3">
      <c r="M2143"/>
    </row>
    <row r="2144" spans="13:13" s="185" customFormat="1" x14ac:dyDescent="0.3">
      <c r="M2144"/>
    </row>
    <row r="2145" spans="13:13" s="185" customFormat="1" x14ac:dyDescent="0.3">
      <c r="M2145"/>
    </row>
    <row r="2146" spans="13:13" s="185" customFormat="1" x14ac:dyDescent="0.3">
      <c r="M2146"/>
    </row>
    <row r="2147" spans="13:13" s="185" customFormat="1" x14ac:dyDescent="0.3">
      <c r="M2147"/>
    </row>
    <row r="2148" spans="13:13" s="185" customFormat="1" x14ac:dyDescent="0.3">
      <c r="M2148"/>
    </row>
    <row r="2149" spans="13:13" s="185" customFormat="1" x14ac:dyDescent="0.3">
      <c r="M2149"/>
    </row>
    <row r="2150" spans="13:13" s="185" customFormat="1" x14ac:dyDescent="0.3">
      <c r="M2150"/>
    </row>
    <row r="2151" spans="13:13" s="185" customFormat="1" x14ac:dyDescent="0.3">
      <c r="M2151"/>
    </row>
    <row r="2152" spans="13:13" s="185" customFormat="1" x14ac:dyDescent="0.3">
      <c r="M2152"/>
    </row>
    <row r="2153" spans="13:13" s="185" customFormat="1" x14ac:dyDescent="0.3">
      <c r="M2153"/>
    </row>
    <row r="2154" spans="13:13" s="185" customFormat="1" x14ac:dyDescent="0.3">
      <c r="M2154"/>
    </row>
    <row r="2155" spans="13:13" s="185" customFormat="1" x14ac:dyDescent="0.3">
      <c r="M2155"/>
    </row>
    <row r="2156" spans="13:13" s="185" customFormat="1" x14ac:dyDescent="0.3">
      <c r="M2156"/>
    </row>
    <row r="2157" spans="13:13" s="185" customFormat="1" x14ac:dyDescent="0.3">
      <c r="M2157"/>
    </row>
    <row r="2158" spans="13:13" s="185" customFormat="1" x14ac:dyDescent="0.3">
      <c r="M2158"/>
    </row>
    <row r="2159" spans="13:13" s="185" customFormat="1" x14ac:dyDescent="0.3">
      <c r="M2159"/>
    </row>
    <row r="2160" spans="13:13" s="185" customFormat="1" x14ac:dyDescent="0.3">
      <c r="M2160"/>
    </row>
    <row r="2161" spans="13:13" s="185" customFormat="1" x14ac:dyDescent="0.3">
      <c r="M2161"/>
    </row>
    <row r="2162" spans="13:13" s="185" customFormat="1" x14ac:dyDescent="0.3">
      <c r="M2162"/>
    </row>
    <row r="2163" spans="13:13" s="185" customFormat="1" x14ac:dyDescent="0.3">
      <c r="M2163"/>
    </row>
    <row r="2164" spans="13:13" s="185" customFormat="1" x14ac:dyDescent="0.3">
      <c r="M2164"/>
    </row>
    <row r="2165" spans="13:13" s="185" customFormat="1" x14ac:dyDescent="0.3">
      <c r="M2165"/>
    </row>
    <row r="2166" spans="13:13" s="185" customFormat="1" x14ac:dyDescent="0.3">
      <c r="M2166"/>
    </row>
    <row r="2167" spans="13:13" s="185" customFormat="1" x14ac:dyDescent="0.3">
      <c r="M2167"/>
    </row>
    <row r="2168" spans="13:13" s="185" customFormat="1" x14ac:dyDescent="0.3">
      <c r="M2168"/>
    </row>
    <row r="2169" spans="13:13" s="185" customFormat="1" x14ac:dyDescent="0.3">
      <c r="M2169"/>
    </row>
    <row r="2170" spans="13:13" s="185" customFormat="1" x14ac:dyDescent="0.3">
      <c r="M2170"/>
    </row>
    <row r="2171" spans="13:13" s="185" customFormat="1" x14ac:dyDescent="0.3">
      <c r="M2171"/>
    </row>
    <row r="2172" spans="13:13" s="185" customFormat="1" x14ac:dyDescent="0.3">
      <c r="M2172"/>
    </row>
    <row r="2173" spans="13:13" s="185" customFormat="1" x14ac:dyDescent="0.3">
      <c r="M2173"/>
    </row>
    <row r="2174" spans="13:13" s="185" customFormat="1" x14ac:dyDescent="0.3">
      <c r="M2174"/>
    </row>
    <row r="2175" spans="13:13" s="185" customFormat="1" x14ac:dyDescent="0.3">
      <c r="M2175"/>
    </row>
    <row r="2176" spans="13:13" s="185" customFormat="1" x14ac:dyDescent="0.3">
      <c r="M2176"/>
    </row>
    <row r="2177" spans="13:13" s="185" customFormat="1" x14ac:dyDescent="0.3">
      <c r="M2177"/>
    </row>
    <row r="2178" spans="13:13" s="185" customFormat="1" x14ac:dyDescent="0.3">
      <c r="M2178"/>
    </row>
    <row r="2179" spans="13:13" s="185" customFormat="1" x14ac:dyDescent="0.3">
      <c r="M2179"/>
    </row>
    <row r="2180" spans="13:13" s="185" customFormat="1" x14ac:dyDescent="0.3">
      <c r="M2180"/>
    </row>
    <row r="2181" spans="13:13" s="185" customFormat="1" x14ac:dyDescent="0.3">
      <c r="M2181"/>
    </row>
    <row r="2182" spans="13:13" s="185" customFormat="1" x14ac:dyDescent="0.3">
      <c r="M2182"/>
    </row>
    <row r="2183" spans="13:13" s="185" customFormat="1" x14ac:dyDescent="0.3">
      <c r="M2183"/>
    </row>
    <row r="2184" spans="13:13" s="185" customFormat="1" x14ac:dyDescent="0.3">
      <c r="M2184"/>
    </row>
    <row r="2185" spans="13:13" s="185" customFormat="1" x14ac:dyDescent="0.3">
      <c r="M2185"/>
    </row>
    <row r="2186" spans="13:13" s="185" customFormat="1" x14ac:dyDescent="0.3">
      <c r="M2186"/>
    </row>
    <row r="2187" spans="13:13" s="185" customFormat="1" x14ac:dyDescent="0.3">
      <c r="M2187"/>
    </row>
    <row r="2188" spans="13:13" s="185" customFormat="1" x14ac:dyDescent="0.3">
      <c r="M2188"/>
    </row>
    <row r="2189" spans="13:13" s="185" customFormat="1" x14ac:dyDescent="0.3">
      <c r="M2189"/>
    </row>
    <row r="2190" spans="13:13" s="185" customFormat="1" x14ac:dyDescent="0.3">
      <c r="M2190"/>
    </row>
    <row r="2191" spans="13:13" s="185" customFormat="1" x14ac:dyDescent="0.3">
      <c r="M2191"/>
    </row>
    <row r="2192" spans="13:13" s="185" customFormat="1" x14ac:dyDescent="0.3">
      <c r="M2192"/>
    </row>
    <row r="2193" spans="13:13" s="185" customFormat="1" x14ac:dyDescent="0.3">
      <c r="M2193"/>
    </row>
    <row r="2194" spans="13:13" s="185" customFormat="1" x14ac:dyDescent="0.3">
      <c r="M2194"/>
    </row>
    <row r="2195" spans="13:13" s="185" customFormat="1" x14ac:dyDescent="0.3">
      <c r="M2195"/>
    </row>
    <row r="2196" spans="13:13" s="185" customFormat="1" x14ac:dyDescent="0.3">
      <c r="M2196"/>
    </row>
    <row r="2197" spans="13:13" s="185" customFormat="1" x14ac:dyDescent="0.3">
      <c r="M2197"/>
    </row>
    <row r="2198" spans="13:13" s="185" customFormat="1" x14ac:dyDescent="0.3">
      <c r="M2198"/>
    </row>
    <row r="2199" spans="13:13" s="185" customFormat="1" x14ac:dyDescent="0.3">
      <c r="M2199"/>
    </row>
    <row r="2200" spans="13:13" s="185" customFormat="1" x14ac:dyDescent="0.3">
      <c r="M2200"/>
    </row>
    <row r="2201" spans="13:13" s="185" customFormat="1" x14ac:dyDescent="0.3">
      <c r="M2201"/>
    </row>
    <row r="2202" spans="13:13" s="185" customFormat="1" x14ac:dyDescent="0.3">
      <c r="M2202"/>
    </row>
    <row r="2203" spans="13:13" s="185" customFormat="1" x14ac:dyDescent="0.3">
      <c r="M2203"/>
    </row>
    <row r="2204" spans="13:13" s="185" customFormat="1" x14ac:dyDescent="0.3">
      <c r="M2204"/>
    </row>
    <row r="2205" spans="13:13" s="185" customFormat="1" x14ac:dyDescent="0.3">
      <c r="M2205"/>
    </row>
    <row r="2206" spans="13:13" s="185" customFormat="1" x14ac:dyDescent="0.3">
      <c r="M2206"/>
    </row>
    <row r="2207" spans="13:13" s="185" customFormat="1" x14ac:dyDescent="0.3">
      <c r="M2207"/>
    </row>
    <row r="2208" spans="13:13" s="185" customFormat="1" x14ac:dyDescent="0.3">
      <c r="M2208"/>
    </row>
    <row r="2209" spans="13:13" s="185" customFormat="1" x14ac:dyDescent="0.3">
      <c r="M2209"/>
    </row>
    <row r="2210" spans="13:13" s="185" customFormat="1" x14ac:dyDescent="0.3">
      <c r="M2210"/>
    </row>
    <row r="2211" spans="13:13" s="185" customFormat="1" x14ac:dyDescent="0.3">
      <c r="M2211"/>
    </row>
    <row r="2212" spans="13:13" s="185" customFormat="1" x14ac:dyDescent="0.3">
      <c r="M2212"/>
    </row>
    <row r="2213" spans="13:13" s="185" customFormat="1" x14ac:dyDescent="0.3">
      <c r="M2213"/>
    </row>
    <row r="2214" spans="13:13" s="185" customFormat="1" x14ac:dyDescent="0.3">
      <c r="M2214"/>
    </row>
    <row r="2215" spans="13:13" s="185" customFormat="1" x14ac:dyDescent="0.3">
      <c r="M2215"/>
    </row>
    <row r="2216" spans="13:13" s="185" customFormat="1" x14ac:dyDescent="0.3">
      <c r="M2216"/>
    </row>
    <row r="2217" spans="13:13" s="185" customFormat="1" x14ac:dyDescent="0.3">
      <c r="M2217"/>
    </row>
    <row r="2218" spans="13:13" s="185" customFormat="1" x14ac:dyDescent="0.3">
      <c r="M2218"/>
    </row>
    <row r="2219" spans="13:13" s="185" customFormat="1" x14ac:dyDescent="0.3">
      <c r="M2219"/>
    </row>
    <row r="2220" spans="13:13" s="185" customFormat="1" x14ac:dyDescent="0.3">
      <c r="M2220"/>
    </row>
    <row r="2221" spans="13:13" s="185" customFormat="1" x14ac:dyDescent="0.3">
      <c r="M2221"/>
    </row>
    <row r="2222" spans="13:13" s="185" customFormat="1" x14ac:dyDescent="0.3">
      <c r="M2222"/>
    </row>
    <row r="2223" spans="13:13" s="185" customFormat="1" x14ac:dyDescent="0.3">
      <c r="M2223"/>
    </row>
    <row r="2224" spans="13:13" s="185" customFormat="1" x14ac:dyDescent="0.3">
      <c r="M2224"/>
    </row>
    <row r="2225" spans="13:13" s="185" customFormat="1" x14ac:dyDescent="0.3">
      <c r="M2225"/>
    </row>
    <row r="2226" spans="13:13" s="185" customFormat="1" x14ac:dyDescent="0.3">
      <c r="M2226"/>
    </row>
    <row r="2227" spans="13:13" s="185" customFormat="1" x14ac:dyDescent="0.3">
      <c r="M2227"/>
    </row>
    <row r="2228" spans="13:13" s="185" customFormat="1" x14ac:dyDescent="0.3">
      <c r="M2228"/>
    </row>
    <row r="2229" spans="13:13" s="185" customFormat="1" x14ac:dyDescent="0.3">
      <c r="M2229"/>
    </row>
    <row r="2230" spans="13:13" s="185" customFormat="1" x14ac:dyDescent="0.3">
      <c r="M2230"/>
    </row>
    <row r="2231" spans="13:13" s="185" customFormat="1" x14ac:dyDescent="0.3">
      <c r="M2231"/>
    </row>
    <row r="2232" spans="13:13" s="185" customFormat="1" x14ac:dyDescent="0.3">
      <c r="M2232"/>
    </row>
    <row r="2233" spans="13:13" s="185" customFormat="1" x14ac:dyDescent="0.3">
      <c r="M2233"/>
    </row>
    <row r="2234" spans="13:13" s="185" customFormat="1" x14ac:dyDescent="0.3">
      <c r="M2234"/>
    </row>
    <row r="2235" spans="13:13" s="185" customFormat="1" x14ac:dyDescent="0.3">
      <c r="M2235"/>
    </row>
    <row r="2236" spans="13:13" s="185" customFormat="1" x14ac:dyDescent="0.3">
      <c r="M2236"/>
    </row>
    <row r="2237" spans="13:13" s="185" customFormat="1" x14ac:dyDescent="0.3">
      <c r="M2237"/>
    </row>
    <row r="2238" spans="13:13" s="185" customFormat="1" x14ac:dyDescent="0.3">
      <c r="M2238"/>
    </row>
    <row r="2239" spans="13:13" s="185" customFormat="1" x14ac:dyDescent="0.3">
      <c r="M2239"/>
    </row>
    <row r="2240" spans="13:13" s="185" customFormat="1" x14ac:dyDescent="0.3">
      <c r="M2240"/>
    </row>
    <row r="2241" spans="13:13" s="185" customFormat="1" x14ac:dyDescent="0.3">
      <c r="M2241"/>
    </row>
    <row r="2242" spans="13:13" s="185" customFormat="1" x14ac:dyDescent="0.3">
      <c r="M2242"/>
    </row>
    <row r="2243" spans="13:13" s="185" customFormat="1" x14ac:dyDescent="0.3">
      <c r="M2243"/>
    </row>
    <row r="2244" spans="13:13" s="185" customFormat="1" x14ac:dyDescent="0.3">
      <c r="M2244"/>
    </row>
    <row r="2245" spans="13:13" s="185" customFormat="1" x14ac:dyDescent="0.3">
      <c r="M2245"/>
    </row>
    <row r="2246" spans="13:13" s="185" customFormat="1" x14ac:dyDescent="0.3">
      <c r="M2246"/>
    </row>
    <row r="2247" spans="13:13" s="185" customFormat="1" x14ac:dyDescent="0.3">
      <c r="M2247"/>
    </row>
    <row r="2248" spans="13:13" s="185" customFormat="1" x14ac:dyDescent="0.3">
      <c r="M2248"/>
    </row>
    <row r="2249" spans="13:13" s="185" customFormat="1" x14ac:dyDescent="0.3">
      <c r="M2249"/>
    </row>
    <row r="2250" spans="13:13" s="185" customFormat="1" x14ac:dyDescent="0.3">
      <c r="M2250"/>
    </row>
    <row r="2251" spans="13:13" s="185" customFormat="1" x14ac:dyDescent="0.3">
      <c r="M2251"/>
    </row>
    <row r="2252" spans="13:13" s="185" customFormat="1" x14ac:dyDescent="0.3">
      <c r="M2252"/>
    </row>
    <row r="2253" spans="13:13" s="185" customFormat="1" x14ac:dyDescent="0.3">
      <c r="M2253"/>
    </row>
    <row r="2254" spans="13:13" s="185" customFormat="1" x14ac:dyDescent="0.3">
      <c r="M2254"/>
    </row>
    <row r="2255" spans="13:13" s="185" customFormat="1" x14ac:dyDescent="0.3">
      <c r="M2255"/>
    </row>
    <row r="2256" spans="13:13" s="185" customFormat="1" x14ac:dyDescent="0.3">
      <c r="M2256"/>
    </row>
    <row r="2257" spans="13:13" s="185" customFormat="1" x14ac:dyDescent="0.3">
      <c r="M2257"/>
    </row>
    <row r="2258" spans="13:13" s="185" customFormat="1" x14ac:dyDescent="0.3">
      <c r="M2258"/>
    </row>
    <row r="2259" spans="13:13" s="185" customFormat="1" x14ac:dyDescent="0.3">
      <c r="M2259"/>
    </row>
    <row r="2260" spans="13:13" s="185" customFormat="1" x14ac:dyDescent="0.3">
      <c r="M2260"/>
    </row>
    <row r="2261" spans="13:13" s="185" customFormat="1" x14ac:dyDescent="0.3">
      <c r="M2261"/>
    </row>
    <row r="2262" spans="13:13" s="185" customFormat="1" x14ac:dyDescent="0.3">
      <c r="M2262"/>
    </row>
    <row r="2263" spans="13:13" s="185" customFormat="1" x14ac:dyDescent="0.3">
      <c r="M2263"/>
    </row>
    <row r="2264" spans="13:13" s="185" customFormat="1" x14ac:dyDescent="0.3">
      <c r="M2264"/>
    </row>
    <row r="2265" spans="13:13" s="185" customFormat="1" x14ac:dyDescent="0.3">
      <c r="M2265"/>
    </row>
    <row r="2266" spans="13:13" s="185" customFormat="1" x14ac:dyDescent="0.3">
      <c r="M2266"/>
    </row>
    <row r="2267" spans="13:13" s="185" customFormat="1" x14ac:dyDescent="0.3">
      <c r="M2267"/>
    </row>
    <row r="2268" spans="13:13" s="185" customFormat="1" x14ac:dyDescent="0.3">
      <c r="M2268"/>
    </row>
    <row r="2269" spans="13:13" s="185" customFormat="1" x14ac:dyDescent="0.3">
      <c r="M2269"/>
    </row>
    <row r="2270" spans="13:13" s="185" customFormat="1" x14ac:dyDescent="0.3">
      <c r="M2270"/>
    </row>
    <row r="2271" spans="13:13" s="185" customFormat="1" x14ac:dyDescent="0.3">
      <c r="M2271"/>
    </row>
    <row r="2272" spans="13:13" s="185" customFormat="1" x14ac:dyDescent="0.3">
      <c r="M2272"/>
    </row>
    <row r="2273" spans="13:13" s="185" customFormat="1" x14ac:dyDescent="0.3">
      <c r="M2273"/>
    </row>
    <row r="2274" spans="13:13" s="185" customFormat="1" x14ac:dyDescent="0.3">
      <c r="M2274"/>
    </row>
    <row r="2275" spans="13:13" s="185" customFormat="1" x14ac:dyDescent="0.3">
      <c r="M2275"/>
    </row>
    <row r="2276" spans="13:13" s="185" customFormat="1" x14ac:dyDescent="0.3">
      <c r="M2276"/>
    </row>
    <row r="2277" spans="13:13" s="185" customFormat="1" x14ac:dyDescent="0.3">
      <c r="M2277"/>
    </row>
    <row r="2278" spans="13:13" s="185" customFormat="1" x14ac:dyDescent="0.3">
      <c r="M2278"/>
    </row>
    <row r="2279" spans="13:13" s="185" customFormat="1" x14ac:dyDescent="0.3">
      <c r="M2279"/>
    </row>
    <row r="2280" spans="13:13" s="185" customFormat="1" x14ac:dyDescent="0.3">
      <c r="M2280"/>
    </row>
    <row r="2281" spans="13:13" s="185" customFormat="1" x14ac:dyDescent="0.3">
      <c r="M2281"/>
    </row>
    <row r="2282" spans="13:13" s="185" customFormat="1" x14ac:dyDescent="0.3">
      <c r="M2282"/>
    </row>
    <row r="2283" spans="13:13" s="185" customFormat="1" x14ac:dyDescent="0.3">
      <c r="M2283"/>
    </row>
    <row r="2284" spans="13:13" s="185" customFormat="1" x14ac:dyDescent="0.3">
      <c r="M2284"/>
    </row>
    <row r="2285" spans="13:13" s="185" customFormat="1" x14ac:dyDescent="0.3">
      <c r="M2285"/>
    </row>
    <row r="2286" spans="13:13" s="185" customFormat="1" x14ac:dyDescent="0.3">
      <c r="M2286"/>
    </row>
    <row r="2287" spans="13:13" s="185" customFormat="1" x14ac:dyDescent="0.3">
      <c r="M2287"/>
    </row>
    <row r="2288" spans="13:13" s="185" customFormat="1" x14ac:dyDescent="0.3">
      <c r="M2288"/>
    </row>
    <row r="2289" spans="13:13" s="185" customFormat="1" x14ac:dyDescent="0.3">
      <c r="M2289"/>
    </row>
    <row r="2290" spans="13:13" s="185" customFormat="1" x14ac:dyDescent="0.3">
      <c r="M2290"/>
    </row>
    <row r="2291" spans="13:13" s="185" customFormat="1" x14ac:dyDescent="0.3">
      <c r="M2291"/>
    </row>
    <row r="2292" spans="13:13" s="185" customFormat="1" x14ac:dyDescent="0.3">
      <c r="M2292"/>
    </row>
    <row r="2293" spans="13:13" s="185" customFormat="1" x14ac:dyDescent="0.3">
      <c r="M2293"/>
    </row>
    <row r="2294" spans="13:13" s="185" customFormat="1" x14ac:dyDescent="0.3">
      <c r="M2294"/>
    </row>
    <row r="2295" spans="13:13" s="185" customFormat="1" x14ac:dyDescent="0.3">
      <c r="M2295"/>
    </row>
    <row r="2296" spans="13:13" s="185" customFormat="1" x14ac:dyDescent="0.3">
      <c r="M2296"/>
    </row>
    <row r="2297" spans="13:13" s="185" customFormat="1" x14ac:dyDescent="0.3">
      <c r="M2297"/>
    </row>
    <row r="2298" spans="13:13" s="185" customFormat="1" x14ac:dyDescent="0.3">
      <c r="M2298"/>
    </row>
    <row r="2299" spans="13:13" s="185" customFormat="1" x14ac:dyDescent="0.3">
      <c r="M2299"/>
    </row>
    <row r="2300" spans="13:13" s="185" customFormat="1" x14ac:dyDescent="0.3">
      <c r="M2300"/>
    </row>
    <row r="2301" spans="13:13" s="185" customFormat="1" x14ac:dyDescent="0.3">
      <c r="M2301"/>
    </row>
    <row r="2302" spans="13:13" s="185" customFormat="1" x14ac:dyDescent="0.3">
      <c r="M2302"/>
    </row>
    <row r="2303" spans="13:13" s="185" customFormat="1" x14ac:dyDescent="0.3">
      <c r="M2303"/>
    </row>
    <row r="2304" spans="13:13" s="185" customFormat="1" x14ac:dyDescent="0.3">
      <c r="M2304"/>
    </row>
    <row r="2305" spans="13:13" s="185" customFormat="1" x14ac:dyDescent="0.3">
      <c r="M2305"/>
    </row>
    <row r="2306" spans="13:13" s="185" customFormat="1" x14ac:dyDescent="0.3">
      <c r="M2306"/>
    </row>
    <row r="2307" spans="13:13" s="185" customFormat="1" x14ac:dyDescent="0.3">
      <c r="M2307"/>
    </row>
    <row r="2308" spans="13:13" s="185" customFormat="1" x14ac:dyDescent="0.3">
      <c r="M2308"/>
    </row>
    <row r="2309" spans="13:13" s="185" customFormat="1" x14ac:dyDescent="0.3">
      <c r="M2309"/>
    </row>
    <row r="2310" spans="13:13" s="185" customFormat="1" x14ac:dyDescent="0.3">
      <c r="M2310"/>
    </row>
    <row r="2311" spans="13:13" s="185" customFormat="1" x14ac:dyDescent="0.3">
      <c r="M2311"/>
    </row>
    <row r="2312" spans="13:13" s="185" customFormat="1" x14ac:dyDescent="0.3">
      <c r="M2312"/>
    </row>
    <row r="2313" spans="13:13" s="185" customFormat="1" x14ac:dyDescent="0.3">
      <c r="M2313"/>
    </row>
    <row r="2314" spans="13:13" s="185" customFormat="1" x14ac:dyDescent="0.3">
      <c r="M2314"/>
    </row>
    <row r="2315" spans="13:13" s="185" customFormat="1" x14ac:dyDescent="0.3">
      <c r="M2315"/>
    </row>
    <row r="2316" spans="13:13" s="185" customFormat="1" x14ac:dyDescent="0.3">
      <c r="M2316"/>
    </row>
    <row r="2317" spans="13:13" s="185" customFormat="1" x14ac:dyDescent="0.3">
      <c r="M2317"/>
    </row>
    <row r="2318" spans="13:13" s="185" customFormat="1" x14ac:dyDescent="0.3">
      <c r="M2318"/>
    </row>
    <row r="2319" spans="13:13" s="185" customFormat="1" x14ac:dyDescent="0.3">
      <c r="M2319"/>
    </row>
    <row r="2320" spans="13:13" s="185" customFormat="1" x14ac:dyDescent="0.3">
      <c r="M2320"/>
    </row>
    <row r="2321" spans="13:13" s="185" customFormat="1" x14ac:dyDescent="0.3">
      <c r="M2321"/>
    </row>
    <row r="2322" spans="13:13" s="185" customFormat="1" x14ac:dyDescent="0.3">
      <c r="M2322"/>
    </row>
    <row r="2323" spans="13:13" s="185" customFormat="1" x14ac:dyDescent="0.3">
      <c r="M2323"/>
    </row>
    <row r="2324" spans="13:13" s="185" customFormat="1" x14ac:dyDescent="0.3">
      <c r="M2324"/>
    </row>
    <row r="2325" spans="13:13" s="185" customFormat="1" x14ac:dyDescent="0.3">
      <c r="M2325"/>
    </row>
    <row r="2326" spans="13:13" s="185" customFormat="1" x14ac:dyDescent="0.3">
      <c r="M2326"/>
    </row>
    <row r="2327" spans="13:13" s="185" customFormat="1" x14ac:dyDescent="0.3">
      <c r="M2327"/>
    </row>
    <row r="2328" spans="13:13" s="185" customFormat="1" x14ac:dyDescent="0.3">
      <c r="M2328"/>
    </row>
    <row r="2329" spans="13:13" s="185" customFormat="1" x14ac:dyDescent="0.3">
      <c r="M2329"/>
    </row>
    <row r="2330" spans="13:13" s="185" customFormat="1" x14ac:dyDescent="0.3">
      <c r="M2330"/>
    </row>
    <row r="2331" spans="13:13" s="185" customFormat="1" x14ac:dyDescent="0.3">
      <c r="M2331"/>
    </row>
    <row r="2332" spans="13:13" s="185" customFormat="1" x14ac:dyDescent="0.3">
      <c r="M2332"/>
    </row>
    <row r="2333" spans="13:13" s="185" customFormat="1" x14ac:dyDescent="0.3">
      <c r="M2333"/>
    </row>
    <row r="2334" spans="13:13" s="185" customFormat="1" x14ac:dyDescent="0.3">
      <c r="M2334"/>
    </row>
    <row r="2335" spans="13:13" s="185" customFormat="1" x14ac:dyDescent="0.3">
      <c r="M2335"/>
    </row>
    <row r="2336" spans="13:13" s="185" customFormat="1" x14ac:dyDescent="0.3">
      <c r="M2336"/>
    </row>
    <row r="2337" spans="13:13" s="185" customFormat="1" x14ac:dyDescent="0.3">
      <c r="M2337"/>
    </row>
    <row r="2338" spans="13:13" s="185" customFormat="1" x14ac:dyDescent="0.3">
      <c r="M2338"/>
    </row>
    <row r="2339" spans="13:13" s="185" customFormat="1" x14ac:dyDescent="0.3">
      <c r="M2339"/>
    </row>
    <row r="2340" spans="13:13" s="185" customFormat="1" x14ac:dyDescent="0.3">
      <c r="M2340"/>
    </row>
    <row r="2341" spans="13:13" s="185" customFormat="1" x14ac:dyDescent="0.3">
      <c r="M2341"/>
    </row>
    <row r="2342" spans="13:13" s="185" customFormat="1" x14ac:dyDescent="0.3">
      <c r="M2342"/>
    </row>
    <row r="2343" spans="13:13" s="185" customFormat="1" x14ac:dyDescent="0.3">
      <c r="M2343"/>
    </row>
    <row r="2344" spans="13:13" s="185" customFormat="1" x14ac:dyDescent="0.3">
      <c r="M2344"/>
    </row>
    <row r="2345" spans="13:13" s="185" customFormat="1" x14ac:dyDescent="0.3">
      <c r="M2345"/>
    </row>
    <row r="2346" spans="13:13" s="185" customFormat="1" x14ac:dyDescent="0.3">
      <c r="M2346"/>
    </row>
    <row r="2347" spans="13:13" s="185" customFormat="1" x14ac:dyDescent="0.3">
      <c r="M2347"/>
    </row>
    <row r="2348" spans="13:13" s="185" customFormat="1" x14ac:dyDescent="0.3">
      <c r="M2348"/>
    </row>
    <row r="2349" spans="13:13" s="185" customFormat="1" x14ac:dyDescent="0.3">
      <c r="M2349"/>
    </row>
    <row r="2350" spans="13:13" s="185" customFormat="1" x14ac:dyDescent="0.3">
      <c r="M2350"/>
    </row>
    <row r="2351" spans="13:13" s="185" customFormat="1" x14ac:dyDescent="0.3">
      <c r="M2351"/>
    </row>
    <row r="2352" spans="13:13" s="185" customFormat="1" x14ac:dyDescent="0.3">
      <c r="M2352"/>
    </row>
    <row r="2353" spans="13:13" s="185" customFormat="1" x14ac:dyDescent="0.3">
      <c r="M2353"/>
    </row>
    <row r="2354" spans="13:13" s="185" customFormat="1" x14ac:dyDescent="0.3">
      <c r="M2354"/>
    </row>
    <row r="2355" spans="13:13" s="185" customFormat="1" x14ac:dyDescent="0.3">
      <c r="M2355"/>
    </row>
    <row r="2356" spans="13:13" s="185" customFormat="1" x14ac:dyDescent="0.3">
      <c r="M2356"/>
    </row>
    <row r="2357" spans="13:13" s="185" customFormat="1" x14ac:dyDescent="0.3">
      <c r="M2357"/>
    </row>
    <row r="2358" spans="13:13" s="185" customFormat="1" x14ac:dyDescent="0.3">
      <c r="M2358"/>
    </row>
    <row r="2359" spans="13:13" s="185" customFormat="1" x14ac:dyDescent="0.3">
      <c r="M2359"/>
    </row>
    <row r="2360" spans="13:13" s="185" customFormat="1" x14ac:dyDescent="0.3">
      <c r="M2360"/>
    </row>
    <row r="2361" spans="13:13" s="185" customFormat="1" x14ac:dyDescent="0.3">
      <c r="M2361"/>
    </row>
    <row r="2362" spans="13:13" s="185" customFormat="1" x14ac:dyDescent="0.3">
      <c r="M2362"/>
    </row>
    <row r="2363" spans="13:13" s="185" customFormat="1" x14ac:dyDescent="0.3">
      <c r="M2363"/>
    </row>
    <row r="2364" spans="13:13" s="185" customFormat="1" x14ac:dyDescent="0.3">
      <c r="M2364"/>
    </row>
    <row r="2365" spans="13:13" s="185" customFormat="1" x14ac:dyDescent="0.3">
      <c r="M2365"/>
    </row>
    <row r="2366" spans="13:13" s="185" customFormat="1" x14ac:dyDescent="0.3">
      <c r="M2366"/>
    </row>
    <row r="2367" spans="13:13" s="185" customFormat="1" x14ac:dyDescent="0.3">
      <c r="M2367"/>
    </row>
    <row r="2368" spans="13:13" s="185" customFormat="1" x14ac:dyDescent="0.3">
      <c r="M2368"/>
    </row>
    <row r="2369" spans="13:13" s="185" customFormat="1" x14ac:dyDescent="0.3">
      <c r="M2369"/>
    </row>
    <row r="2370" spans="13:13" s="185" customFormat="1" x14ac:dyDescent="0.3">
      <c r="M2370"/>
    </row>
    <row r="2371" spans="13:13" s="185" customFormat="1" x14ac:dyDescent="0.3">
      <c r="M2371"/>
    </row>
    <row r="2372" spans="13:13" s="185" customFormat="1" x14ac:dyDescent="0.3">
      <c r="M2372"/>
    </row>
    <row r="2373" spans="13:13" s="185" customFormat="1" x14ac:dyDescent="0.3">
      <c r="M2373"/>
    </row>
    <row r="2374" spans="13:13" s="185" customFormat="1" x14ac:dyDescent="0.3">
      <c r="M2374"/>
    </row>
    <row r="2375" spans="13:13" s="185" customFormat="1" x14ac:dyDescent="0.3">
      <c r="M2375"/>
    </row>
    <row r="2376" spans="13:13" s="185" customFormat="1" x14ac:dyDescent="0.3">
      <c r="M2376"/>
    </row>
    <row r="2377" spans="13:13" s="185" customFormat="1" x14ac:dyDescent="0.3">
      <c r="M2377"/>
    </row>
    <row r="2378" spans="13:13" s="185" customFormat="1" x14ac:dyDescent="0.3">
      <c r="M2378"/>
    </row>
    <row r="2379" spans="13:13" s="185" customFormat="1" x14ac:dyDescent="0.3">
      <c r="M2379"/>
    </row>
    <row r="2380" spans="13:13" s="185" customFormat="1" x14ac:dyDescent="0.3">
      <c r="M2380"/>
    </row>
    <row r="2381" spans="13:13" s="185" customFormat="1" x14ac:dyDescent="0.3">
      <c r="M2381"/>
    </row>
    <row r="2382" spans="13:13" s="185" customFormat="1" x14ac:dyDescent="0.3">
      <c r="M2382"/>
    </row>
    <row r="2383" spans="13:13" s="185" customFormat="1" x14ac:dyDescent="0.3">
      <c r="M2383"/>
    </row>
    <row r="2384" spans="13:13" s="185" customFormat="1" x14ac:dyDescent="0.3">
      <c r="M2384"/>
    </row>
    <row r="2385" spans="13:13" s="185" customFormat="1" x14ac:dyDescent="0.3">
      <c r="M2385"/>
    </row>
    <row r="2386" spans="13:13" s="185" customFormat="1" x14ac:dyDescent="0.3">
      <c r="M2386"/>
    </row>
    <row r="2387" spans="13:13" s="185" customFormat="1" x14ac:dyDescent="0.3">
      <c r="M2387"/>
    </row>
    <row r="2388" spans="13:13" s="185" customFormat="1" x14ac:dyDescent="0.3">
      <c r="M2388"/>
    </row>
    <row r="2389" spans="13:13" s="185" customFormat="1" x14ac:dyDescent="0.3">
      <c r="M2389"/>
    </row>
    <row r="2390" spans="13:13" s="185" customFormat="1" x14ac:dyDescent="0.3">
      <c r="M2390"/>
    </row>
    <row r="2391" spans="13:13" s="185" customFormat="1" x14ac:dyDescent="0.3">
      <c r="M2391"/>
    </row>
    <row r="2392" spans="13:13" s="185" customFormat="1" x14ac:dyDescent="0.3">
      <c r="M2392"/>
    </row>
    <row r="2393" spans="13:13" s="185" customFormat="1" x14ac:dyDescent="0.3">
      <c r="M2393"/>
    </row>
    <row r="2394" spans="13:13" s="185" customFormat="1" x14ac:dyDescent="0.3">
      <c r="M2394"/>
    </row>
    <row r="2395" spans="13:13" s="185" customFormat="1" x14ac:dyDescent="0.3">
      <c r="M2395"/>
    </row>
    <row r="2396" spans="13:13" s="185" customFormat="1" x14ac:dyDescent="0.3">
      <c r="M2396"/>
    </row>
    <row r="2397" spans="13:13" s="185" customFormat="1" x14ac:dyDescent="0.3">
      <c r="M2397"/>
    </row>
    <row r="2398" spans="13:13" s="185" customFormat="1" x14ac:dyDescent="0.3">
      <c r="M2398"/>
    </row>
    <row r="2399" spans="13:13" s="185" customFormat="1" x14ac:dyDescent="0.3">
      <c r="M2399"/>
    </row>
    <row r="2400" spans="13:13" s="185" customFormat="1" x14ac:dyDescent="0.3">
      <c r="M2400"/>
    </row>
    <row r="2401" spans="13:13" s="185" customFormat="1" x14ac:dyDescent="0.3">
      <c r="M2401"/>
    </row>
    <row r="2402" spans="13:13" s="185" customFormat="1" x14ac:dyDescent="0.3">
      <c r="M2402"/>
    </row>
    <row r="2403" spans="13:13" s="185" customFormat="1" x14ac:dyDescent="0.3">
      <c r="M2403"/>
    </row>
    <row r="2404" spans="13:13" s="185" customFormat="1" x14ac:dyDescent="0.3">
      <c r="M2404"/>
    </row>
    <row r="2405" spans="13:13" s="185" customFormat="1" x14ac:dyDescent="0.3">
      <c r="M2405"/>
    </row>
    <row r="2406" spans="13:13" s="185" customFormat="1" x14ac:dyDescent="0.3">
      <c r="M2406"/>
    </row>
    <row r="2407" spans="13:13" s="185" customFormat="1" x14ac:dyDescent="0.3">
      <c r="M2407"/>
    </row>
    <row r="2408" spans="13:13" s="185" customFormat="1" x14ac:dyDescent="0.3">
      <c r="M2408"/>
    </row>
    <row r="2409" spans="13:13" s="185" customFormat="1" x14ac:dyDescent="0.3">
      <c r="M2409"/>
    </row>
    <row r="2410" spans="13:13" s="185" customFormat="1" x14ac:dyDescent="0.3">
      <c r="M2410"/>
    </row>
    <row r="2411" spans="13:13" s="185" customFormat="1" x14ac:dyDescent="0.3">
      <c r="M2411"/>
    </row>
    <row r="2412" spans="13:13" s="185" customFormat="1" x14ac:dyDescent="0.3">
      <c r="M2412"/>
    </row>
    <row r="2413" spans="13:13" s="185" customFormat="1" x14ac:dyDescent="0.3">
      <c r="M2413"/>
    </row>
    <row r="2414" spans="13:13" s="185" customFormat="1" x14ac:dyDescent="0.3">
      <c r="M2414"/>
    </row>
    <row r="2415" spans="13:13" s="185" customFormat="1" x14ac:dyDescent="0.3">
      <c r="M2415"/>
    </row>
    <row r="2416" spans="13:13" s="185" customFormat="1" x14ac:dyDescent="0.3">
      <c r="M2416"/>
    </row>
    <row r="2417" spans="13:13" s="185" customFormat="1" x14ac:dyDescent="0.3">
      <c r="M2417"/>
    </row>
    <row r="2418" spans="13:13" s="185" customFormat="1" x14ac:dyDescent="0.3">
      <c r="M2418"/>
    </row>
    <row r="2419" spans="13:13" s="185" customFormat="1" x14ac:dyDescent="0.3">
      <c r="M2419"/>
    </row>
    <row r="2420" spans="13:13" s="185" customFormat="1" x14ac:dyDescent="0.3">
      <c r="M2420"/>
    </row>
    <row r="2421" spans="13:13" s="185" customFormat="1" x14ac:dyDescent="0.3">
      <c r="M2421"/>
    </row>
    <row r="2422" spans="13:13" s="185" customFormat="1" x14ac:dyDescent="0.3">
      <c r="M2422"/>
    </row>
    <row r="2423" spans="13:13" s="185" customFormat="1" x14ac:dyDescent="0.3">
      <c r="M2423"/>
    </row>
    <row r="2424" spans="13:13" s="185" customFormat="1" x14ac:dyDescent="0.3">
      <c r="M2424"/>
    </row>
    <row r="2425" spans="13:13" s="185" customFormat="1" x14ac:dyDescent="0.3">
      <c r="M2425"/>
    </row>
    <row r="2426" spans="13:13" s="185" customFormat="1" x14ac:dyDescent="0.3">
      <c r="M2426"/>
    </row>
    <row r="2427" spans="13:13" s="185" customFormat="1" x14ac:dyDescent="0.3">
      <c r="M2427"/>
    </row>
    <row r="2428" spans="13:13" s="185" customFormat="1" x14ac:dyDescent="0.3">
      <c r="M2428"/>
    </row>
    <row r="2429" spans="13:13" s="185" customFormat="1" x14ac:dyDescent="0.3">
      <c r="M2429"/>
    </row>
    <row r="2430" spans="13:13" s="185" customFormat="1" x14ac:dyDescent="0.3">
      <c r="M2430"/>
    </row>
    <row r="2431" spans="13:13" s="185" customFormat="1" x14ac:dyDescent="0.3">
      <c r="M2431"/>
    </row>
    <row r="2432" spans="13:13" s="185" customFormat="1" x14ac:dyDescent="0.3">
      <c r="M2432"/>
    </row>
    <row r="2433" spans="13:13" s="185" customFormat="1" x14ac:dyDescent="0.3">
      <c r="M2433"/>
    </row>
    <row r="2434" spans="13:13" s="185" customFormat="1" x14ac:dyDescent="0.3">
      <c r="M2434"/>
    </row>
    <row r="2435" spans="13:13" s="185" customFormat="1" x14ac:dyDescent="0.3">
      <c r="M2435"/>
    </row>
    <row r="2436" spans="13:13" s="185" customFormat="1" x14ac:dyDescent="0.3">
      <c r="M2436"/>
    </row>
    <row r="2437" spans="13:13" s="185" customFormat="1" x14ac:dyDescent="0.3">
      <c r="M2437"/>
    </row>
    <row r="2438" spans="13:13" s="185" customFormat="1" x14ac:dyDescent="0.3">
      <c r="M2438"/>
    </row>
    <row r="2439" spans="13:13" s="185" customFormat="1" x14ac:dyDescent="0.3">
      <c r="M2439"/>
    </row>
    <row r="2440" spans="13:13" s="185" customFormat="1" x14ac:dyDescent="0.3">
      <c r="M2440"/>
    </row>
    <row r="2441" spans="13:13" s="185" customFormat="1" x14ac:dyDescent="0.3">
      <c r="M2441"/>
    </row>
    <row r="2442" spans="13:13" s="185" customFormat="1" x14ac:dyDescent="0.3">
      <c r="M2442"/>
    </row>
    <row r="2443" spans="13:13" s="185" customFormat="1" x14ac:dyDescent="0.3">
      <c r="M2443"/>
    </row>
    <row r="2444" spans="13:13" s="185" customFormat="1" x14ac:dyDescent="0.3">
      <c r="M2444"/>
    </row>
    <row r="2445" spans="13:13" s="185" customFormat="1" x14ac:dyDescent="0.3">
      <c r="M2445"/>
    </row>
    <row r="2446" spans="13:13" s="185" customFormat="1" x14ac:dyDescent="0.3">
      <c r="M2446"/>
    </row>
    <row r="2447" spans="13:13" s="185" customFormat="1" x14ac:dyDescent="0.3">
      <c r="M2447"/>
    </row>
    <row r="2448" spans="13:13" s="185" customFormat="1" x14ac:dyDescent="0.3">
      <c r="M2448"/>
    </row>
    <row r="2449" spans="13:13" s="185" customFormat="1" x14ac:dyDescent="0.3">
      <c r="M2449"/>
    </row>
    <row r="2450" spans="13:13" s="185" customFormat="1" x14ac:dyDescent="0.3">
      <c r="M2450"/>
    </row>
    <row r="2451" spans="13:13" s="185" customFormat="1" x14ac:dyDescent="0.3">
      <c r="M2451"/>
    </row>
    <row r="2452" spans="13:13" s="185" customFormat="1" x14ac:dyDescent="0.3">
      <c r="M2452"/>
    </row>
    <row r="2453" spans="13:13" s="185" customFormat="1" x14ac:dyDescent="0.3">
      <c r="M2453"/>
    </row>
    <row r="2454" spans="13:13" s="185" customFormat="1" x14ac:dyDescent="0.3">
      <c r="M2454"/>
    </row>
    <row r="2455" spans="13:13" s="185" customFormat="1" x14ac:dyDescent="0.3">
      <c r="M2455"/>
    </row>
    <row r="2456" spans="13:13" s="185" customFormat="1" x14ac:dyDescent="0.3">
      <c r="M2456"/>
    </row>
    <row r="2457" spans="13:13" s="185" customFormat="1" x14ac:dyDescent="0.3">
      <c r="M2457"/>
    </row>
    <row r="2458" spans="13:13" s="185" customFormat="1" x14ac:dyDescent="0.3">
      <c r="M2458"/>
    </row>
    <row r="2459" spans="13:13" s="185" customFormat="1" x14ac:dyDescent="0.3">
      <c r="M2459"/>
    </row>
    <row r="2460" spans="13:13" s="185" customFormat="1" x14ac:dyDescent="0.3">
      <c r="M2460"/>
    </row>
    <row r="2461" spans="13:13" s="185" customFormat="1" x14ac:dyDescent="0.3">
      <c r="M2461"/>
    </row>
    <row r="2462" spans="13:13" s="185" customFormat="1" x14ac:dyDescent="0.3">
      <c r="M2462"/>
    </row>
    <row r="2463" spans="13:13" s="185" customFormat="1" x14ac:dyDescent="0.3">
      <c r="M2463"/>
    </row>
    <row r="2464" spans="13:13" s="185" customFormat="1" x14ac:dyDescent="0.3">
      <c r="M2464"/>
    </row>
    <row r="2465" spans="13:13" s="185" customFormat="1" x14ac:dyDescent="0.3">
      <c r="M2465"/>
    </row>
    <row r="2466" spans="13:13" s="185" customFormat="1" x14ac:dyDescent="0.3">
      <c r="M2466"/>
    </row>
    <row r="2467" spans="13:13" s="185" customFormat="1" x14ac:dyDescent="0.3">
      <c r="M2467"/>
    </row>
    <row r="2468" spans="13:13" s="185" customFormat="1" x14ac:dyDescent="0.3">
      <c r="M2468"/>
    </row>
    <row r="2469" spans="13:13" s="185" customFormat="1" x14ac:dyDescent="0.3">
      <c r="M2469"/>
    </row>
    <row r="2470" spans="13:13" s="185" customFormat="1" x14ac:dyDescent="0.3">
      <c r="M2470"/>
    </row>
    <row r="2471" spans="13:13" s="185" customFormat="1" x14ac:dyDescent="0.3">
      <c r="M2471"/>
    </row>
    <row r="2472" spans="13:13" s="185" customFormat="1" x14ac:dyDescent="0.3">
      <c r="M2472"/>
    </row>
    <row r="2473" spans="13:13" s="185" customFormat="1" x14ac:dyDescent="0.3">
      <c r="M2473"/>
    </row>
    <row r="2474" spans="13:13" s="185" customFormat="1" x14ac:dyDescent="0.3">
      <c r="M2474"/>
    </row>
    <row r="2475" spans="13:13" s="185" customFormat="1" x14ac:dyDescent="0.3">
      <c r="M2475"/>
    </row>
    <row r="2476" spans="13:13" s="185" customFormat="1" x14ac:dyDescent="0.3">
      <c r="M2476"/>
    </row>
    <row r="2477" spans="13:13" s="185" customFormat="1" x14ac:dyDescent="0.3">
      <c r="M2477"/>
    </row>
    <row r="2478" spans="13:13" s="185" customFormat="1" x14ac:dyDescent="0.3">
      <c r="M2478"/>
    </row>
    <row r="2479" spans="13:13" s="185" customFormat="1" x14ac:dyDescent="0.3">
      <c r="M2479"/>
    </row>
    <row r="2480" spans="13:13" s="185" customFormat="1" x14ac:dyDescent="0.3">
      <c r="M2480"/>
    </row>
    <row r="2481" spans="13:13" s="185" customFormat="1" x14ac:dyDescent="0.3">
      <c r="M2481"/>
    </row>
    <row r="2482" spans="13:13" s="185" customFormat="1" x14ac:dyDescent="0.3">
      <c r="M2482"/>
    </row>
    <row r="2483" spans="13:13" s="185" customFormat="1" x14ac:dyDescent="0.3">
      <c r="M2483"/>
    </row>
    <row r="2484" spans="13:13" s="185" customFormat="1" x14ac:dyDescent="0.3">
      <c r="M2484"/>
    </row>
    <row r="2485" spans="13:13" s="185" customFormat="1" x14ac:dyDescent="0.3">
      <c r="M2485"/>
    </row>
    <row r="2486" spans="13:13" s="185" customFormat="1" x14ac:dyDescent="0.3">
      <c r="M2486"/>
    </row>
    <row r="2487" spans="13:13" s="185" customFormat="1" x14ac:dyDescent="0.3">
      <c r="M2487"/>
    </row>
    <row r="2488" spans="13:13" s="185" customFormat="1" x14ac:dyDescent="0.3">
      <c r="M2488"/>
    </row>
    <row r="2489" spans="13:13" s="185" customFormat="1" x14ac:dyDescent="0.3">
      <c r="M2489"/>
    </row>
    <row r="2490" spans="13:13" s="185" customFormat="1" x14ac:dyDescent="0.3">
      <c r="M2490"/>
    </row>
    <row r="2491" spans="13:13" s="185" customFormat="1" x14ac:dyDescent="0.3">
      <c r="M2491"/>
    </row>
    <row r="2492" spans="13:13" s="185" customFormat="1" x14ac:dyDescent="0.3">
      <c r="M2492"/>
    </row>
    <row r="2493" spans="13:13" s="185" customFormat="1" x14ac:dyDescent="0.3">
      <c r="M2493"/>
    </row>
    <row r="2494" spans="13:13" s="185" customFormat="1" x14ac:dyDescent="0.3">
      <c r="M2494"/>
    </row>
    <row r="2495" spans="13:13" s="185" customFormat="1" x14ac:dyDescent="0.3">
      <c r="M2495"/>
    </row>
    <row r="2496" spans="13:13" s="185" customFormat="1" x14ac:dyDescent="0.3">
      <c r="M2496"/>
    </row>
    <row r="2497" spans="13:13" s="185" customFormat="1" x14ac:dyDescent="0.3">
      <c r="M2497"/>
    </row>
    <row r="2498" spans="13:13" s="185" customFormat="1" x14ac:dyDescent="0.3">
      <c r="M2498"/>
    </row>
    <row r="2499" spans="13:13" s="185" customFormat="1" x14ac:dyDescent="0.3">
      <c r="M2499"/>
    </row>
    <row r="2500" spans="13:13" s="185" customFormat="1" x14ac:dyDescent="0.3">
      <c r="M2500"/>
    </row>
    <row r="2501" spans="13:13" s="185" customFormat="1" x14ac:dyDescent="0.3">
      <c r="M2501"/>
    </row>
    <row r="2502" spans="13:13" s="185" customFormat="1" x14ac:dyDescent="0.3">
      <c r="M2502"/>
    </row>
    <row r="2503" spans="13:13" s="185" customFormat="1" x14ac:dyDescent="0.3">
      <c r="M2503"/>
    </row>
    <row r="2504" spans="13:13" s="185" customFormat="1" x14ac:dyDescent="0.3">
      <c r="M2504"/>
    </row>
    <row r="2505" spans="13:13" s="185" customFormat="1" x14ac:dyDescent="0.3">
      <c r="M2505"/>
    </row>
    <row r="2506" spans="13:13" s="185" customFormat="1" x14ac:dyDescent="0.3">
      <c r="M2506"/>
    </row>
    <row r="2507" spans="13:13" s="185" customFormat="1" x14ac:dyDescent="0.3">
      <c r="M2507"/>
    </row>
    <row r="2508" spans="13:13" s="185" customFormat="1" x14ac:dyDescent="0.3">
      <c r="M2508"/>
    </row>
    <row r="2509" spans="13:13" s="185" customFormat="1" x14ac:dyDescent="0.3">
      <c r="M2509"/>
    </row>
    <row r="2510" spans="13:13" s="185" customFormat="1" x14ac:dyDescent="0.3">
      <c r="M2510"/>
    </row>
    <row r="2511" spans="13:13" s="185" customFormat="1" x14ac:dyDescent="0.3">
      <c r="M2511"/>
    </row>
    <row r="2512" spans="13:13" s="185" customFormat="1" x14ac:dyDescent="0.3">
      <c r="M2512"/>
    </row>
    <row r="2513" spans="13:13" s="185" customFormat="1" x14ac:dyDescent="0.3">
      <c r="M2513"/>
    </row>
    <row r="2514" spans="13:13" s="185" customFormat="1" x14ac:dyDescent="0.3">
      <c r="M2514"/>
    </row>
    <row r="2515" spans="13:13" s="185" customFormat="1" x14ac:dyDescent="0.3">
      <c r="M2515"/>
    </row>
    <row r="2516" spans="13:13" s="185" customFormat="1" x14ac:dyDescent="0.3">
      <c r="M2516"/>
    </row>
    <row r="2517" spans="13:13" s="185" customFormat="1" x14ac:dyDescent="0.3">
      <c r="M2517"/>
    </row>
  </sheetData>
  <mergeCells count="8">
    <mergeCell ref="AN139:AR139"/>
    <mergeCell ref="AU3:BF3"/>
    <mergeCell ref="L118:N118"/>
    <mergeCell ref="B66:D66"/>
    <mergeCell ref="AN135:AR135"/>
    <mergeCell ref="AN136:AR136"/>
    <mergeCell ref="AN137:AR137"/>
    <mergeCell ref="AN138:AR138"/>
  </mergeCells>
  <pageMargins left="0.7" right="0.7" top="0.75" bottom="0.75" header="0.3" footer="0.3"/>
  <pageSetup scale="12"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F48199-8064-394E-B913-559363E073AB}">
  <dimension ref="A1:P43"/>
  <sheetViews>
    <sheetView zoomScale="92" workbookViewId="0">
      <selection activeCell="G21" sqref="G21"/>
    </sheetView>
  </sheetViews>
  <sheetFormatPr defaultColWidth="10.6640625" defaultRowHeight="14.4" x14ac:dyDescent="0.3"/>
  <cols>
    <col min="1" max="1" width="32.33203125" customWidth="1"/>
    <col min="2" max="2" width="21.33203125" customWidth="1"/>
    <col min="3" max="3" width="17.6640625" customWidth="1"/>
    <col min="4" max="4" width="17.33203125" customWidth="1"/>
    <col min="5" max="5" width="17.6640625" customWidth="1"/>
    <col min="6" max="6" width="17" customWidth="1"/>
    <col min="7" max="7" width="16.88671875" bestFit="1" customWidth="1"/>
    <col min="8" max="8" width="19.33203125" customWidth="1"/>
    <col min="9" max="9" width="20.33203125" customWidth="1"/>
    <col min="10" max="10" width="17.6640625" customWidth="1"/>
    <col min="11" max="12" width="16.88671875" bestFit="1" customWidth="1"/>
    <col min="13" max="13" width="19.6640625" customWidth="1"/>
    <col min="14" max="14" width="16.88671875" bestFit="1" customWidth="1"/>
  </cols>
  <sheetData>
    <row r="1" spans="1:16" ht="15.6" x14ac:dyDescent="0.3">
      <c r="A1" s="381" t="s">
        <v>628</v>
      </c>
      <c r="B1" s="382" t="s">
        <v>321</v>
      </c>
      <c r="C1" s="382" t="s">
        <v>215</v>
      </c>
      <c r="D1" s="382" t="s">
        <v>216</v>
      </c>
      <c r="E1" s="383" t="s">
        <v>242</v>
      </c>
      <c r="F1" s="382" t="s">
        <v>243</v>
      </c>
      <c r="G1" s="382" t="s">
        <v>244</v>
      </c>
      <c r="H1" s="382" t="s">
        <v>245</v>
      </c>
      <c r="I1" s="382" t="s">
        <v>246</v>
      </c>
      <c r="J1" s="382" t="s">
        <v>247</v>
      </c>
      <c r="K1" s="382" t="s">
        <v>248</v>
      </c>
      <c r="L1" s="382" t="s">
        <v>249</v>
      </c>
      <c r="M1" s="380"/>
    </row>
    <row r="2" spans="1:16" ht="15.6" x14ac:dyDescent="0.3">
      <c r="A2" s="381" t="s">
        <v>629</v>
      </c>
      <c r="B2" s="182">
        <v>7.4999999999999997E-2</v>
      </c>
      <c r="C2" s="182">
        <v>7.4999999999999997E-2</v>
      </c>
      <c r="D2" s="182">
        <v>7.4999999999999997E-2</v>
      </c>
      <c r="E2" s="182">
        <v>7.4999999999999997E-2</v>
      </c>
      <c r="F2" s="182">
        <v>7.4999999999999997E-2</v>
      </c>
      <c r="G2" s="182">
        <v>7.4999999999999997E-2</v>
      </c>
      <c r="H2" s="182">
        <v>7.4999999999999997E-2</v>
      </c>
      <c r="I2" s="182">
        <v>7.4999999999999997E-2</v>
      </c>
      <c r="J2" s="182">
        <v>7.4999999999999997E-2</v>
      </c>
      <c r="K2" s="182">
        <v>7.4999999999999997E-2</v>
      </c>
      <c r="L2" s="182">
        <v>7.4999999999999997E-2</v>
      </c>
    </row>
    <row r="3" spans="1:16" ht="15.6" x14ac:dyDescent="0.3">
      <c r="A3" s="381" t="s">
        <v>630</v>
      </c>
      <c r="B3" s="145">
        <v>57000000</v>
      </c>
      <c r="C3" s="145">
        <f>B3*1.11</f>
        <v>63270000.000000007</v>
      </c>
      <c r="D3" s="145">
        <f>C3*1.11</f>
        <v>70229700.000000015</v>
      </c>
      <c r="E3" s="145">
        <f>D3*1.11</f>
        <v>77954967.00000003</v>
      </c>
      <c r="F3" s="145">
        <f>E3*1.11</f>
        <v>86530013.370000035</v>
      </c>
      <c r="G3" s="145">
        <f>F3*1.11</f>
        <v>96048314.840700045</v>
      </c>
      <c r="H3" s="145">
        <f>G3*1.09</f>
        <v>104692663.17636305</v>
      </c>
      <c r="I3" s="145">
        <f>H3*1.08</f>
        <v>113068076.2304721</v>
      </c>
      <c r="J3" s="145">
        <f>I3*1.07</f>
        <v>120982841.56660515</v>
      </c>
      <c r="K3" s="145">
        <f>J3*1.06</f>
        <v>128241812.06060147</v>
      </c>
      <c r="L3" s="145">
        <f>K3*1.05</f>
        <v>134653902.66363156</v>
      </c>
      <c r="M3" s="16" t="s">
        <v>313</v>
      </c>
      <c r="N3" s="184">
        <v>0.11</v>
      </c>
    </row>
    <row r="4" spans="1:16" ht="15.6" x14ac:dyDescent="0.3">
      <c r="A4" s="381" t="s">
        <v>631</v>
      </c>
      <c r="B4" s="156">
        <f>11781*1000</f>
        <v>11781000</v>
      </c>
      <c r="C4" s="176">
        <f t="shared" ref="C4:L4" si="0">C5*2.755789474</f>
        <v>13076910.001498502</v>
      </c>
      <c r="D4" s="176">
        <f t="shared" si="0"/>
        <v>14515370.101663338</v>
      </c>
      <c r="E4" s="176">
        <f t="shared" si="0"/>
        <v>16112060.812846309</v>
      </c>
      <c r="F4" s="176">
        <f t="shared" si="0"/>
        <v>17884387.502259403</v>
      </c>
      <c r="G4" s="176">
        <f t="shared" si="0"/>
        <v>19851670.12750794</v>
      </c>
      <c r="H4" s="176">
        <f t="shared" si="0"/>
        <v>21638320.438983653</v>
      </c>
      <c r="I4" s="176">
        <f t="shared" si="0"/>
        <v>23369386.07410235</v>
      </c>
      <c r="J4" s="176">
        <f t="shared" si="0"/>
        <v>25005243.09928951</v>
      </c>
      <c r="K4" s="176">
        <f t="shared" si="0"/>
        <v>26505557.685246885</v>
      </c>
      <c r="L4" s="176">
        <f t="shared" si="0"/>
        <v>27830835.569509234</v>
      </c>
      <c r="P4" t="s">
        <v>178</v>
      </c>
    </row>
    <row r="5" spans="1:16" ht="15.6" x14ac:dyDescent="0.3">
      <c r="A5" s="381" t="s">
        <v>632</v>
      </c>
      <c r="B5" s="145">
        <f>B2*B3</f>
        <v>4275000</v>
      </c>
      <c r="C5" s="145">
        <f t="shared" ref="C5:L5" si="1">C3*0.075</f>
        <v>4745250</v>
      </c>
      <c r="D5" s="145">
        <f t="shared" si="1"/>
        <v>5267227.5000000009</v>
      </c>
      <c r="E5" s="145">
        <f t="shared" si="1"/>
        <v>5846622.5250000022</v>
      </c>
      <c r="F5" s="145">
        <f t="shared" si="1"/>
        <v>6489751.0027500028</v>
      </c>
      <c r="G5" s="145">
        <f t="shared" si="1"/>
        <v>7203623.6130525032</v>
      </c>
      <c r="H5" s="145">
        <f t="shared" si="1"/>
        <v>7851949.7382272286</v>
      </c>
      <c r="I5" s="145">
        <f t="shared" si="1"/>
        <v>8480105.7172854077</v>
      </c>
      <c r="J5" s="145">
        <f t="shared" si="1"/>
        <v>9073713.1174953859</v>
      </c>
      <c r="K5" s="145">
        <f t="shared" si="1"/>
        <v>9618135.9045451097</v>
      </c>
      <c r="L5" s="145">
        <f t="shared" si="1"/>
        <v>10099042.699772367</v>
      </c>
    </row>
    <row r="6" spans="1:16" ht="15.6" x14ac:dyDescent="0.3">
      <c r="A6" s="381" t="s">
        <v>633</v>
      </c>
      <c r="B6" s="145">
        <f>B4/B5</f>
        <v>2.7557894736842106</v>
      </c>
      <c r="C6" s="145"/>
      <c r="D6" s="145"/>
      <c r="E6" s="145"/>
      <c r="F6" s="145"/>
      <c r="G6" s="145"/>
      <c r="H6" s="145"/>
      <c r="I6" s="145"/>
      <c r="J6" s="145"/>
      <c r="K6" s="145"/>
      <c r="L6" s="145"/>
      <c r="M6" s="1"/>
      <c r="N6" s="1"/>
    </row>
    <row r="7" spans="1:16" ht="15.6" x14ac:dyDescent="0.3">
      <c r="A7" s="378"/>
      <c r="B7" s="172"/>
      <c r="C7" s="1"/>
      <c r="D7" s="1"/>
      <c r="E7" s="1"/>
      <c r="F7" s="1"/>
      <c r="G7" s="1"/>
      <c r="H7" s="1"/>
      <c r="I7" s="1"/>
      <c r="J7" s="1"/>
      <c r="K7" s="1"/>
      <c r="L7" s="1"/>
      <c r="M7" s="1"/>
    </row>
    <row r="8" spans="1:16" ht="15.6" x14ac:dyDescent="0.3">
      <c r="A8" s="341"/>
      <c r="B8" s="382" t="s">
        <v>245</v>
      </c>
      <c r="C8" s="382" t="s">
        <v>246</v>
      </c>
      <c r="D8" s="382" t="s">
        <v>247</v>
      </c>
      <c r="E8" s="382" t="s">
        <v>248</v>
      </c>
      <c r="F8" s="382" t="s">
        <v>249</v>
      </c>
      <c r="G8" s="381" t="s">
        <v>634</v>
      </c>
      <c r="H8" s="1"/>
      <c r="I8" s="174"/>
      <c r="J8" s="174"/>
      <c r="K8" s="174"/>
      <c r="L8" s="174"/>
      <c r="M8" s="174"/>
    </row>
    <row r="9" spans="1:16" ht="15.6" x14ac:dyDescent="0.3">
      <c r="A9" s="381" t="s">
        <v>635</v>
      </c>
      <c r="B9" s="340">
        <f>'DCF '!H20</f>
        <v>11860000</v>
      </c>
      <c r="C9" s="340">
        <f>'DCF '!I20</f>
        <v>11645000</v>
      </c>
      <c r="D9" s="340">
        <f>'DCF '!J20</f>
        <v>11430000</v>
      </c>
      <c r="E9" s="340">
        <f>'DCF '!K20</f>
        <v>11215000</v>
      </c>
      <c r="F9" s="340">
        <f>'DCF '!L20</f>
        <v>11000000</v>
      </c>
      <c r="G9" s="396">
        <f>('DCF '!G20-11000000)/5</f>
        <v>215000</v>
      </c>
    </row>
    <row r="10" spans="1:16" ht="15.6" x14ac:dyDescent="0.3">
      <c r="A10" s="378"/>
    </row>
    <row r="11" spans="1:16" ht="15.6" x14ac:dyDescent="0.3">
      <c r="A11" s="390" t="s">
        <v>636</v>
      </c>
      <c r="B11" s="390">
        <v>2020</v>
      </c>
      <c r="C11" s="390">
        <v>2021</v>
      </c>
      <c r="D11" s="390">
        <v>2022</v>
      </c>
      <c r="E11" s="390">
        <v>2023</v>
      </c>
      <c r="F11" s="390">
        <v>2024</v>
      </c>
      <c r="G11" s="390">
        <v>2025</v>
      </c>
      <c r="H11" s="390" t="s">
        <v>205</v>
      </c>
      <c r="L11" s="110"/>
    </row>
    <row r="12" spans="1:16" ht="15.6" x14ac:dyDescent="0.3">
      <c r="A12" s="390" t="s">
        <v>637</v>
      </c>
      <c r="B12" s="392">
        <v>9.9479999999999999E-2</v>
      </c>
      <c r="C12" s="393">
        <v>6.3420000000000004E-2</v>
      </c>
      <c r="D12" s="393">
        <v>0.19577</v>
      </c>
      <c r="E12" s="393">
        <v>0.11931</v>
      </c>
      <c r="F12" s="393">
        <v>5.8900000000000001E-2</v>
      </c>
      <c r="G12" s="394">
        <f>701/1169</f>
        <v>0.59965782720273741</v>
      </c>
      <c r="H12" s="395">
        <f>AVERAGE(B12:G12)</f>
        <v>0.18942297120045623</v>
      </c>
      <c r="L12" s="110"/>
    </row>
    <row r="13" spans="1:16" ht="15.6" x14ac:dyDescent="0.3">
      <c r="A13" s="379"/>
      <c r="B13" s="110"/>
      <c r="C13" s="110"/>
      <c r="D13" s="110"/>
      <c r="E13" s="110"/>
      <c r="F13" s="110"/>
      <c r="G13" s="142"/>
      <c r="H13" s="110"/>
      <c r="L13" s="110"/>
    </row>
    <row r="14" spans="1:16" ht="15.6" x14ac:dyDescent="0.3">
      <c r="A14" s="379"/>
      <c r="B14" s="110"/>
      <c r="C14" s="110"/>
      <c r="D14" s="110"/>
      <c r="E14" s="110"/>
      <c r="F14" s="110"/>
      <c r="G14" s="110"/>
      <c r="H14" s="110"/>
      <c r="L14" s="110"/>
    </row>
    <row r="15" spans="1:16" ht="15.6" x14ac:dyDescent="0.3">
      <c r="A15" s="390" t="s">
        <v>274</v>
      </c>
      <c r="B15" s="391" t="s">
        <v>215</v>
      </c>
      <c r="C15" s="391" t="s">
        <v>216</v>
      </c>
      <c r="D15" s="391" t="s">
        <v>242</v>
      </c>
      <c r="E15" s="391" t="s">
        <v>243</v>
      </c>
      <c r="F15" s="391" t="s">
        <v>244</v>
      </c>
      <c r="G15" s="391" t="s">
        <v>245</v>
      </c>
      <c r="H15" s="391" t="s">
        <v>246</v>
      </c>
      <c r="I15" s="391" t="s">
        <v>247</v>
      </c>
      <c r="J15" s="391" t="s">
        <v>248</v>
      </c>
      <c r="K15" s="391" t="s">
        <v>249</v>
      </c>
      <c r="L15" s="110"/>
    </row>
    <row r="16" spans="1:16" ht="15.6" x14ac:dyDescent="0.3">
      <c r="A16" s="391" t="s">
        <v>638</v>
      </c>
      <c r="B16" s="387">
        <f>H12+C43</f>
        <v>0.19709266326959979</v>
      </c>
      <c r="C16" s="387">
        <f>B16+C43</f>
        <v>0.20476235533874335</v>
      </c>
      <c r="D16" s="387">
        <f>C16+C43</f>
        <v>0.2124320474078869</v>
      </c>
      <c r="E16" s="387">
        <f>D16+C43</f>
        <v>0.22010173947703046</v>
      </c>
      <c r="F16" s="387">
        <f>E16+C43</f>
        <v>0.22777143154617402</v>
      </c>
      <c r="G16" s="387">
        <f>F16+C43</f>
        <v>0.23544112361531758</v>
      </c>
      <c r="H16" s="387">
        <f>G16+C43</f>
        <v>0.24311081568446113</v>
      </c>
      <c r="I16" s="387">
        <f>H16+C43</f>
        <v>0.25078050775360472</v>
      </c>
      <c r="J16" s="387">
        <f>I16+C43</f>
        <v>0.25845019982274831</v>
      </c>
      <c r="K16" s="387">
        <f>J16+C43</f>
        <v>0.26611989189189189</v>
      </c>
      <c r="L16" s="110"/>
    </row>
    <row r="17" spans="1:12" ht="15.6" x14ac:dyDescent="0.3">
      <c r="A17" s="110"/>
      <c r="B17" s="110"/>
      <c r="C17" s="110"/>
      <c r="D17" s="110"/>
      <c r="E17" s="110"/>
      <c r="F17" s="110"/>
      <c r="G17" s="110"/>
      <c r="H17" s="110"/>
      <c r="L17" s="110"/>
    </row>
    <row r="18" spans="1:12" ht="15.6" x14ac:dyDescent="0.3">
      <c r="A18" s="110"/>
      <c r="G18" s="110"/>
      <c r="H18" s="110"/>
      <c r="L18" s="110"/>
    </row>
    <row r="19" spans="1:12" ht="15.6" x14ac:dyDescent="0.3">
      <c r="A19" s="110"/>
      <c r="G19" s="110"/>
      <c r="H19" s="110"/>
      <c r="L19" s="110"/>
    </row>
    <row r="20" spans="1:12" ht="15.6" x14ac:dyDescent="0.3">
      <c r="A20" s="110"/>
      <c r="B20" s="110"/>
      <c r="C20" s="110"/>
      <c r="D20" s="110"/>
      <c r="E20" s="110"/>
      <c r="F20" s="110"/>
      <c r="G20" s="110"/>
      <c r="H20" s="110"/>
      <c r="L20" s="110"/>
    </row>
    <row r="21" spans="1:12" ht="15.6" x14ac:dyDescent="0.3">
      <c r="A21" s="110"/>
      <c r="B21" s="110"/>
      <c r="C21" s="110"/>
      <c r="D21" s="110"/>
      <c r="E21" s="110"/>
      <c r="F21" s="110"/>
      <c r="G21" s="110"/>
      <c r="H21" s="110"/>
      <c r="L21" s="110"/>
    </row>
    <row r="22" spans="1:12" ht="15.6" x14ac:dyDescent="0.3">
      <c r="A22" s="384" t="s">
        <v>639</v>
      </c>
      <c r="B22" s="384"/>
      <c r="C22" s="385">
        <v>0.21</v>
      </c>
      <c r="D22" s="110"/>
      <c r="E22" s="110"/>
      <c r="F22" s="110"/>
      <c r="G22" s="110"/>
      <c r="H22" s="110"/>
      <c r="L22" s="110"/>
    </row>
    <row r="23" spans="1:12" ht="15.6" x14ac:dyDescent="0.3">
      <c r="A23" s="384"/>
      <c r="B23" s="384"/>
      <c r="C23" s="384"/>
      <c r="D23" s="110"/>
      <c r="E23" s="110"/>
      <c r="F23" s="110"/>
      <c r="G23" s="110"/>
      <c r="H23" s="110"/>
      <c r="L23" s="110"/>
    </row>
    <row r="24" spans="1:12" ht="15.6" x14ac:dyDescent="0.3">
      <c r="A24" s="389" t="s">
        <v>640</v>
      </c>
      <c r="B24" s="384"/>
      <c r="C24" s="386">
        <v>1846000</v>
      </c>
      <c r="D24" s="110"/>
      <c r="E24" s="110"/>
      <c r="F24" s="110"/>
      <c r="G24" s="110"/>
      <c r="H24" s="110"/>
      <c r="L24" s="110"/>
    </row>
    <row r="25" spans="1:12" ht="15.6" x14ac:dyDescent="0.3">
      <c r="A25" s="384"/>
      <c r="B25" s="384"/>
      <c r="C25" s="384"/>
      <c r="D25" s="110"/>
      <c r="E25" s="110"/>
      <c r="F25" s="110"/>
      <c r="G25" s="110"/>
      <c r="H25" s="110"/>
      <c r="L25" s="110"/>
    </row>
    <row r="26" spans="1:12" ht="15.6" x14ac:dyDescent="0.3">
      <c r="A26" s="389" t="s">
        <v>641</v>
      </c>
      <c r="B26" s="384"/>
      <c r="C26" s="386">
        <v>781000</v>
      </c>
      <c r="D26" s="110"/>
      <c r="E26" s="110"/>
      <c r="F26" s="110"/>
      <c r="G26" s="110"/>
      <c r="H26" s="110"/>
      <c r="L26" s="110"/>
    </row>
    <row r="27" spans="1:12" ht="15.6" x14ac:dyDescent="0.3">
      <c r="A27" s="384"/>
      <c r="B27" s="384"/>
      <c r="C27" s="384"/>
      <c r="D27" s="110"/>
      <c r="E27" s="110"/>
      <c r="F27" s="110"/>
      <c r="G27" s="110"/>
      <c r="H27" s="110"/>
      <c r="L27" s="110"/>
    </row>
    <row r="28" spans="1:12" ht="15.6" x14ac:dyDescent="0.3">
      <c r="A28" s="389" t="s">
        <v>642</v>
      </c>
      <c r="B28" s="384"/>
      <c r="C28" s="386">
        <f>C26+C24</f>
        <v>2627000</v>
      </c>
      <c r="D28" s="110"/>
      <c r="E28" s="110"/>
      <c r="F28" s="110"/>
      <c r="G28" s="110"/>
      <c r="H28" s="110"/>
      <c r="L28" s="110"/>
    </row>
    <row r="29" spans="1:12" ht="15.6" x14ac:dyDescent="0.3">
      <c r="A29" s="384"/>
      <c r="B29" s="384"/>
      <c r="C29" s="384"/>
      <c r="D29" s="110"/>
      <c r="E29" s="110"/>
      <c r="F29" s="110"/>
      <c r="G29" s="110"/>
      <c r="H29" s="110"/>
      <c r="L29" s="110"/>
    </row>
    <row r="30" spans="1:12" ht="15.6" x14ac:dyDescent="0.3">
      <c r="A30" s="384" t="s">
        <v>643</v>
      </c>
      <c r="B30" s="384"/>
      <c r="C30" s="384">
        <f>C24/C28</f>
        <v>0.70270270270270274</v>
      </c>
      <c r="D30" s="110"/>
      <c r="E30" s="110"/>
      <c r="F30" s="110"/>
      <c r="G30" s="110"/>
      <c r="H30" s="110"/>
      <c r="L30" s="110"/>
    </row>
    <row r="31" spans="1:12" ht="15.6" x14ac:dyDescent="0.3">
      <c r="A31" s="384"/>
      <c r="B31" s="384"/>
      <c r="C31" s="384"/>
      <c r="D31" s="110"/>
      <c r="E31" s="110"/>
      <c r="F31" s="110"/>
      <c r="G31" s="110"/>
      <c r="H31" s="110"/>
      <c r="L31" s="110"/>
    </row>
    <row r="32" spans="1:12" ht="15.6" x14ac:dyDescent="0.3">
      <c r="A32" s="384" t="s">
        <v>644</v>
      </c>
      <c r="B32" s="384"/>
      <c r="C32" s="384">
        <f>C26/C28</f>
        <v>0.29729729729729731</v>
      </c>
      <c r="D32" s="110"/>
      <c r="E32" s="110"/>
      <c r="F32" s="110"/>
      <c r="G32" s="110"/>
      <c r="H32" s="110"/>
      <c r="L32" s="110"/>
    </row>
    <row r="33" spans="1:12" ht="15.6" x14ac:dyDescent="0.3">
      <c r="A33" s="384"/>
      <c r="B33" s="384"/>
      <c r="C33" s="384"/>
      <c r="D33" s="110"/>
      <c r="E33" s="110"/>
      <c r="F33" s="110"/>
      <c r="G33" s="110"/>
      <c r="H33" s="110"/>
      <c r="L33" s="110"/>
    </row>
    <row r="34" spans="1:12" ht="15.6" x14ac:dyDescent="0.3">
      <c r="A34" s="389" t="s">
        <v>645</v>
      </c>
      <c r="B34" s="384"/>
      <c r="C34" s="387">
        <v>8.8400000000000006E-2</v>
      </c>
    </row>
    <row r="35" spans="1:12" ht="15.6" x14ac:dyDescent="0.3">
      <c r="A35" s="384"/>
      <c r="B35" s="384"/>
      <c r="C35" s="384"/>
    </row>
    <row r="36" spans="1:12" ht="15.6" x14ac:dyDescent="0.3">
      <c r="A36" s="389" t="s">
        <v>646</v>
      </c>
      <c r="B36" s="384"/>
      <c r="C36" s="385">
        <v>0.03</v>
      </c>
    </row>
    <row r="37" spans="1:12" ht="15.6" x14ac:dyDescent="0.3">
      <c r="A37" s="384"/>
      <c r="B37" s="384"/>
      <c r="C37" s="384"/>
    </row>
    <row r="38" spans="1:12" ht="15.6" x14ac:dyDescent="0.3">
      <c r="A38" s="384" t="s">
        <v>647</v>
      </c>
      <c r="B38" s="384"/>
      <c r="C38" s="387">
        <f>(C30*C34)+(C32*C36)</f>
        <v>7.1037837837837847E-2</v>
      </c>
    </row>
    <row r="39" spans="1:12" ht="15.6" x14ac:dyDescent="0.3">
      <c r="A39" s="384"/>
      <c r="B39" s="384"/>
      <c r="C39" s="384"/>
    </row>
    <row r="40" spans="1:12" ht="15.6" x14ac:dyDescent="0.3">
      <c r="A40" s="384" t="s">
        <v>648</v>
      </c>
      <c r="B40" s="384"/>
      <c r="C40" s="387">
        <f>C22+C38*(1-C22)</f>
        <v>0.26611989189189189</v>
      </c>
    </row>
    <row r="41" spans="1:12" ht="15.6" x14ac:dyDescent="0.3">
      <c r="A41" s="384"/>
      <c r="B41" s="384"/>
      <c r="C41" s="384"/>
    </row>
    <row r="42" spans="1:12" ht="15.6" x14ac:dyDescent="0.3">
      <c r="A42" s="389" t="s">
        <v>649</v>
      </c>
      <c r="B42" s="384"/>
      <c r="C42" s="387">
        <f>C40-H12</f>
        <v>7.669692069143566E-2</v>
      </c>
    </row>
    <row r="43" spans="1:12" ht="15.6" x14ac:dyDescent="0.3">
      <c r="A43" s="389" t="s">
        <v>650</v>
      </c>
      <c r="B43" s="384"/>
      <c r="C43" s="388">
        <f>C42/10</f>
        <v>7.6696920691435664E-3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7F0948-0FC7-4AAF-8EEB-884FE9F17A7E}">
  <dimension ref="A1:N21"/>
  <sheetViews>
    <sheetView zoomScale="67" workbookViewId="0">
      <selection activeCell="M27" sqref="M27"/>
    </sheetView>
  </sheetViews>
  <sheetFormatPr defaultColWidth="8.88671875" defaultRowHeight="14.4" x14ac:dyDescent="0.3"/>
  <cols>
    <col min="1" max="1" width="27.6640625" customWidth="1"/>
    <col min="10" max="10" width="8.44140625" customWidth="1"/>
    <col min="11" max="11" width="8.33203125" customWidth="1"/>
    <col min="12" max="12" width="22.44140625" customWidth="1"/>
    <col min="13" max="13" width="17.88671875" customWidth="1"/>
    <col min="14" max="14" width="17.6640625" customWidth="1"/>
  </cols>
  <sheetData>
    <row r="1" spans="1:14" x14ac:dyDescent="0.3">
      <c r="A1" s="66" t="s">
        <v>651</v>
      </c>
      <c r="B1" s="66" t="s">
        <v>652</v>
      </c>
      <c r="C1" s="66"/>
      <c r="D1" s="66"/>
      <c r="E1" s="66"/>
      <c r="F1" s="66"/>
      <c r="G1" s="66"/>
    </row>
    <row r="2" spans="1:14" x14ac:dyDescent="0.3">
      <c r="A2" t="s">
        <v>653</v>
      </c>
      <c r="C2" t="s">
        <v>654</v>
      </c>
      <c r="I2" s="67"/>
      <c r="J2" s="67" t="s">
        <v>655</v>
      </c>
      <c r="K2" s="67" t="s">
        <v>656</v>
      </c>
      <c r="L2" s="67" t="s">
        <v>657</v>
      </c>
      <c r="M2" s="67" t="s">
        <v>658</v>
      </c>
      <c r="N2" s="67" t="s">
        <v>654</v>
      </c>
    </row>
    <row r="3" spans="1:14" x14ac:dyDescent="0.3">
      <c r="A3">
        <v>2019</v>
      </c>
      <c r="B3" s="64">
        <f>L4/M4</f>
        <v>0.4489636292530309</v>
      </c>
      <c r="C3" s="64">
        <f>J4/K4</f>
        <v>0.10075670717725292</v>
      </c>
      <c r="I3" s="67">
        <v>2018</v>
      </c>
      <c r="J3" s="67">
        <v>1049</v>
      </c>
      <c r="K3" s="67">
        <v>19248</v>
      </c>
      <c r="L3" s="67"/>
      <c r="M3" s="67"/>
      <c r="N3" s="67"/>
    </row>
    <row r="4" spans="1:14" x14ac:dyDescent="0.3">
      <c r="A4">
        <v>2020</v>
      </c>
      <c r="B4" s="64">
        <f t="shared" ref="B4:B7" si="0">L5/M5</f>
        <v>0.5544902524768297</v>
      </c>
      <c r="C4" s="64">
        <f t="shared" ref="C4:C7" si="1">J5/K5</f>
        <v>0.15769631828025987</v>
      </c>
      <c r="I4" s="67">
        <v>2019</v>
      </c>
      <c r="J4" s="67">
        <v>2197</v>
      </c>
      <c r="K4" s="67">
        <v>21805</v>
      </c>
      <c r="L4" s="67">
        <f>J4-J3</f>
        <v>1148</v>
      </c>
      <c r="M4" s="67">
        <f>K4-K3</f>
        <v>2557</v>
      </c>
      <c r="N4" s="67"/>
    </row>
    <row r="5" spans="1:14" x14ac:dyDescent="0.3">
      <c r="A5">
        <v>2021</v>
      </c>
      <c r="B5" s="64">
        <f t="shared" si="0"/>
        <v>-1.0523138832997987</v>
      </c>
      <c r="C5" s="64">
        <f t="shared" si="1"/>
        <v>4.8032386301469783E-2</v>
      </c>
      <c r="I5" s="67">
        <v>2020</v>
      </c>
      <c r="J5" s="67">
        <v>3932</v>
      </c>
      <c r="K5" s="67">
        <v>24934</v>
      </c>
      <c r="L5" s="67">
        <f t="shared" ref="L5:L9" si="2">J5-J4</f>
        <v>1735</v>
      </c>
      <c r="M5" s="67">
        <f t="shared" ref="M5:M9" si="3">K5-K4</f>
        <v>3129</v>
      </c>
      <c r="N5" s="67"/>
    </row>
    <row r="6" spans="1:14" x14ac:dyDescent="0.3">
      <c r="A6">
        <v>2023</v>
      </c>
      <c r="B6" s="64">
        <f t="shared" si="0"/>
        <v>0.44692433315187807</v>
      </c>
      <c r="C6" s="64">
        <f t="shared" si="1"/>
        <v>7.3079026524473609E-2</v>
      </c>
      <c r="I6" s="67">
        <v>2021</v>
      </c>
      <c r="J6" s="67">
        <v>1317</v>
      </c>
      <c r="K6" s="67">
        <v>27419</v>
      </c>
      <c r="L6" s="67">
        <f t="shared" si="2"/>
        <v>-2615</v>
      </c>
      <c r="M6" s="67">
        <f t="shared" si="3"/>
        <v>2485</v>
      </c>
      <c r="N6" s="67"/>
    </row>
    <row r="7" spans="1:14" x14ac:dyDescent="0.3">
      <c r="A7">
        <v>2024</v>
      </c>
      <c r="B7" s="64">
        <f t="shared" si="0"/>
        <v>0.21282401091405184</v>
      </c>
      <c r="C7" s="64">
        <f t="shared" si="1"/>
        <v>9.134129672550069E-2</v>
      </c>
      <c r="I7" s="67">
        <v>2022</v>
      </c>
      <c r="J7" s="67">
        <v>2138</v>
      </c>
      <c r="K7" s="67">
        <v>29256</v>
      </c>
      <c r="L7" s="67">
        <f t="shared" si="2"/>
        <v>821</v>
      </c>
      <c r="M7" s="67">
        <f t="shared" si="3"/>
        <v>1837</v>
      </c>
      <c r="N7" s="67"/>
    </row>
    <row r="8" spans="1:14" x14ac:dyDescent="0.3">
      <c r="A8" s="66" t="s">
        <v>659</v>
      </c>
      <c r="B8" s="66"/>
      <c r="C8" s="66"/>
      <c r="D8" s="66"/>
      <c r="E8" s="66"/>
      <c r="F8" s="66"/>
      <c r="G8" s="66"/>
      <c r="I8" s="67">
        <v>2023</v>
      </c>
      <c r="J8" s="67">
        <v>3074</v>
      </c>
      <c r="K8" s="67">
        <v>33654</v>
      </c>
      <c r="L8" s="67">
        <f t="shared" si="2"/>
        <v>936</v>
      </c>
      <c r="M8" s="67">
        <f t="shared" si="3"/>
        <v>4398</v>
      </c>
      <c r="N8" s="67"/>
    </row>
    <row r="9" spans="1:14" x14ac:dyDescent="0.3">
      <c r="A9" s="66" t="s">
        <v>660</v>
      </c>
      <c r="B9" s="66"/>
      <c r="C9" s="66"/>
      <c r="D9" s="66"/>
      <c r="E9" s="66"/>
      <c r="F9" s="66"/>
      <c r="G9" s="66"/>
      <c r="I9" s="67">
        <v>2024</v>
      </c>
      <c r="J9" s="67">
        <v>2861</v>
      </c>
      <c r="K9" s="67">
        <v>37788</v>
      </c>
      <c r="L9" s="67">
        <f t="shared" si="2"/>
        <v>-213</v>
      </c>
      <c r="M9" s="67">
        <f t="shared" si="3"/>
        <v>4134</v>
      </c>
      <c r="N9" s="67"/>
    </row>
    <row r="12" spans="1:14" x14ac:dyDescent="0.3">
      <c r="A12" t="s">
        <v>661</v>
      </c>
      <c r="L12">
        <v>2026</v>
      </c>
    </row>
    <row r="13" spans="1:14" x14ac:dyDescent="0.3">
      <c r="L13">
        <v>2027</v>
      </c>
    </row>
    <row r="14" spans="1:14" x14ac:dyDescent="0.3">
      <c r="L14">
        <v>2028</v>
      </c>
    </row>
    <row r="15" spans="1:14" x14ac:dyDescent="0.3">
      <c r="L15">
        <v>2029</v>
      </c>
    </row>
    <row r="16" spans="1:14" x14ac:dyDescent="0.3">
      <c r="L16">
        <v>2030</v>
      </c>
    </row>
    <row r="17" spans="12:12" x14ac:dyDescent="0.3">
      <c r="L17">
        <v>2031</v>
      </c>
    </row>
    <row r="18" spans="12:12" x14ac:dyDescent="0.3">
      <c r="L18">
        <v>2032</v>
      </c>
    </row>
    <row r="19" spans="12:12" x14ac:dyDescent="0.3">
      <c r="L19">
        <v>2033</v>
      </c>
    </row>
    <row r="20" spans="12:12" x14ac:dyDescent="0.3">
      <c r="L20">
        <v>2034</v>
      </c>
    </row>
    <row r="21" spans="12:12" x14ac:dyDescent="0.3">
      <c r="L21">
        <v>2035</v>
      </c>
    </row>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21056B-56D5-4D7B-96B6-2402E9330991}">
  <sheetPr>
    <outlinePr summaryBelow="0" summaryRight="0"/>
    <pageSetUpPr autoPageBreaks="0"/>
  </sheetPr>
  <dimension ref="A2:IU127"/>
  <sheetViews>
    <sheetView topLeftCell="AF17" workbookViewId="0">
      <selection activeCell="T28" sqref="T28"/>
    </sheetView>
  </sheetViews>
  <sheetFormatPr defaultColWidth="9" defaultRowHeight="10.199999999999999" x14ac:dyDescent="0.2"/>
  <cols>
    <col min="1" max="1" width="45.88671875" style="68" customWidth="1"/>
    <col min="2" max="11" width="14.88671875" style="68" customWidth="1"/>
    <col min="12" max="17" width="9" style="68"/>
    <col min="18" max="18" width="11" style="68" customWidth="1"/>
    <col min="19" max="16384" width="9" style="68"/>
  </cols>
  <sheetData>
    <row r="2" spans="1:255" x14ac:dyDescent="0.2">
      <c r="A2" s="73" t="s">
        <v>662</v>
      </c>
      <c r="B2" s="74"/>
      <c r="C2" s="74"/>
      <c r="D2" s="74"/>
      <c r="E2" s="74"/>
      <c r="F2" s="74"/>
      <c r="G2" s="74"/>
      <c r="H2" s="74"/>
      <c r="I2" s="74"/>
      <c r="J2" s="74"/>
      <c r="K2" s="74"/>
    </row>
    <row r="3" spans="1:255" s="72" customFormat="1" x14ac:dyDescent="0.2">
      <c r="A3" s="75" t="s">
        <v>663</v>
      </c>
      <c r="B3" s="76"/>
      <c r="C3" s="76"/>
      <c r="D3" s="76"/>
      <c r="E3" s="76"/>
      <c r="F3" s="76"/>
      <c r="G3" s="76"/>
      <c r="H3" s="76"/>
      <c r="I3" s="76"/>
      <c r="J3" s="76"/>
      <c r="K3" s="76"/>
      <c r="L3" s="71"/>
      <c r="M3" s="71"/>
      <c r="N3" s="71"/>
      <c r="O3" s="71"/>
      <c r="P3" s="71"/>
      <c r="Q3" s="71"/>
      <c r="R3" s="71"/>
      <c r="S3" s="71"/>
      <c r="T3" s="71"/>
      <c r="U3" s="71"/>
      <c r="V3" s="71"/>
      <c r="W3" s="71"/>
      <c r="X3" s="71"/>
      <c r="Y3" s="71"/>
      <c r="Z3" s="71"/>
      <c r="AA3" s="71"/>
      <c r="AB3" s="71"/>
      <c r="AC3" s="71"/>
      <c r="AD3" s="71"/>
      <c r="AE3" s="71"/>
      <c r="AF3" s="71"/>
      <c r="AG3" s="71"/>
      <c r="AH3" s="71"/>
      <c r="AI3" s="71"/>
      <c r="AJ3" s="71"/>
      <c r="AK3" s="71"/>
      <c r="AL3" s="71"/>
      <c r="AM3" s="71"/>
      <c r="AN3" s="71"/>
      <c r="AO3" s="71"/>
      <c r="AP3" s="71"/>
      <c r="AQ3" s="71"/>
      <c r="AR3" s="71"/>
      <c r="AS3" s="71"/>
      <c r="AT3" s="71"/>
      <c r="AU3" s="71"/>
      <c r="AV3" s="71"/>
      <c r="AW3" s="71"/>
      <c r="AX3" s="71"/>
      <c r="AY3" s="71"/>
      <c r="AZ3" s="71"/>
      <c r="BA3" s="71"/>
      <c r="BB3" s="71"/>
      <c r="BC3" s="71"/>
      <c r="BD3" s="71"/>
      <c r="BE3" s="71"/>
      <c r="BF3" s="71"/>
      <c r="BG3" s="71"/>
      <c r="BH3" s="71"/>
      <c r="BI3" s="71"/>
      <c r="BJ3" s="71"/>
      <c r="BK3" s="71"/>
      <c r="BL3" s="71"/>
      <c r="BM3" s="71"/>
      <c r="BN3" s="71"/>
      <c r="BO3" s="71"/>
      <c r="BP3" s="71"/>
      <c r="BQ3" s="71"/>
      <c r="BR3" s="71"/>
      <c r="BS3" s="71"/>
      <c r="BT3" s="71"/>
      <c r="BU3" s="71"/>
      <c r="BV3" s="71"/>
      <c r="BW3" s="71"/>
      <c r="BX3" s="71"/>
      <c r="BY3" s="71"/>
      <c r="BZ3" s="71"/>
      <c r="CA3" s="71"/>
      <c r="CB3" s="71"/>
      <c r="CC3" s="71"/>
      <c r="CD3" s="71"/>
      <c r="CE3" s="71"/>
      <c r="CF3" s="71"/>
      <c r="CG3" s="71"/>
      <c r="CH3" s="71"/>
      <c r="CI3" s="71"/>
      <c r="CJ3" s="71"/>
      <c r="CK3" s="71"/>
      <c r="CL3" s="71"/>
      <c r="CM3" s="71"/>
      <c r="CN3" s="71"/>
      <c r="CO3" s="71"/>
      <c r="CP3" s="71"/>
      <c r="CQ3" s="71"/>
      <c r="CR3" s="71"/>
      <c r="CS3" s="71"/>
      <c r="CT3" s="71"/>
      <c r="CU3" s="71"/>
      <c r="CV3" s="71"/>
      <c r="CW3" s="71"/>
      <c r="CX3" s="71"/>
      <c r="CY3" s="71"/>
      <c r="CZ3" s="71"/>
      <c r="DA3" s="71"/>
      <c r="DB3" s="71"/>
      <c r="DC3" s="71"/>
      <c r="DD3" s="71"/>
      <c r="DE3" s="71"/>
      <c r="DF3" s="71"/>
      <c r="DG3" s="71"/>
      <c r="DH3" s="71"/>
      <c r="DI3" s="71"/>
      <c r="DJ3" s="71"/>
      <c r="DK3" s="71"/>
      <c r="DL3" s="71"/>
      <c r="DM3" s="71"/>
      <c r="DN3" s="71"/>
      <c r="DO3" s="71"/>
      <c r="DP3" s="71"/>
      <c r="DQ3" s="71"/>
      <c r="DR3" s="71"/>
      <c r="DS3" s="71"/>
      <c r="DT3" s="71"/>
      <c r="DU3" s="71"/>
      <c r="DV3" s="71"/>
      <c r="DW3" s="71"/>
      <c r="DX3" s="71"/>
      <c r="DY3" s="71"/>
      <c r="DZ3" s="71"/>
      <c r="EA3" s="71"/>
      <c r="EB3" s="71"/>
      <c r="EC3" s="71"/>
      <c r="ED3" s="71"/>
      <c r="EE3" s="71"/>
      <c r="EF3" s="71"/>
      <c r="EG3" s="71"/>
      <c r="EH3" s="71"/>
      <c r="EI3" s="71"/>
      <c r="EJ3" s="71"/>
      <c r="EK3" s="71"/>
      <c r="EL3" s="71"/>
      <c r="EM3" s="71"/>
      <c r="EN3" s="71"/>
      <c r="EO3" s="71"/>
      <c r="EP3" s="71"/>
      <c r="EQ3" s="71"/>
      <c r="ER3" s="71"/>
      <c r="ES3" s="71"/>
      <c r="ET3" s="71"/>
      <c r="EU3" s="71"/>
      <c r="EV3" s="71"/>
      <c r="EW3" s="71"/>
      <c r="EX3" s="71"/>
      <c r="EY3" s="71"/>
      <c r="EZ3" s="71"/>
      <c r="FA3" s="71"/>
      <c r="FB3" s="71"/>
      <c r="FC3" s="71"/>
      <c r="FD3" s="71"/>
      <c r="FE3" s="71"/>
      <c r="FF3" s="71"/>
      <c r="FG3" s="71"/>
      <c r="FH3" s="71"/>
      <c r="FI3" s="71"/>
      <c r="FJ3" s="71"/>
      <c r="FK3" s="71"/>
      <c r="FL3" s="71"/>
      <c r="FM3" s="71"/>
      <c r="FN3" s="71"/>
      <c r="FO3" s="71"/>
      <c r="FP3" s="71"/>
      <c r="FQ3" s="71"/>
      <c r="FR3" s="71"/>
      <c r="FS3" s="71"/>
      <c r="FT3" s="71"/>
      <c r="FU3" s="71"/>
      <c r="FV3" s="71"/>
      <c r="FW3" s="71"/>
      <c r="FX3" s="71"/>
      <c r="FY3" s="71"/>
      <c r="FZ3" s="71"/>
      <c r="GA3" s="71"/>
      <c r="GB3" s="71"/>
      <c r="GC3" s="71"/>
      <c r="GD3" s="71"/>
      <c r="GE3" s="71"/>
      <c r="GF3" s="71"/>
      <c r="GG3" s="71"/>
      <c r="GH3" s="71"/>
      <c r="GI3" s="71"/>
      <c r="GJ3" s="71"/>
      <c r="GK3" s="71"/>
      <c r="GL3" s="71"/>
      <c r="GM3" s="71"/>
      <c r="GN3" s="71"/>
      <c r="GO3" s="71"/>
      <c r="GP3" s="71"/>
      <c r="GQ3" s="71"/>
      <c r="GR3" s="71"/>
      <c r="GS3" s="71"/>
      <c r="GT3" s="71"/>
      <c r="GU3" s="71"/>
      <c r="GV3" s="71"/>
      <c r="GW3" s="71"/>
      <c r="GX3" s="71"/>
      <c r="GY3" s="71"/>
      <c r="GZ3" s="71"/>
      <c r="HA3" s="71"/>
      <c r="HB3" s="71"/>
      <c r="HC3" s="71"/>
      <c r="HD3" s="71"/>
      <c r="HE3" s="71"/>
      <c r="HF3" s="71"/>
      <c r="HG3" s="71"/>
      <c r="HH3" s="71"/>
      <c r="HI3" s="71"/>
      <c r="HJ3" s="71"/>
      <c r="HK3" s="71"/>
      <c r="HL3" s="71"/>
      <c r="HM3" s="71"/>
      <c r="HN3" s="71"/>
      <c r="HO3" s="71"/>
      <c r="HP3" s="71"/>
      <c r="HQ3" s="71"/>
      <c r="HR3" s="71"/>
      <c r="HS3" s="71"/>
      <c r="HT3" s="71"/>
      <c r="HU3" s="71"/>
      <c r="HV3" s="71"/>
      <c r="HW3" s="71"/>
      <c r="HX3" s="71"/>
      <c r="HY3" s="71"/>
      <c r="HZ3" s="71"/>
      <c r="IA3" s="71"/>
      <c r="IB3" s="71"/>
      <c r="IC3" s="71"/>
      <c r="ID3" s="71"/>
      <c r="IE3" s="71"/>
      <c r="IF3" s="71"/>
      <c r="IG3" s="71"/>
      <c r="IH3" s="71"/>
      <c r="II3" s="71"/>
      <c r="IJ3" s="71"/>
      <c r="IK3" s="71"/>
      <c r="IL3" s="71"/>
      <c r="IM3" s="71"/>
      <c r="IN3" s="71"/>
      <c r="IO3" s="71"/>
      <c r="IP3" s="71"/>
      <c r="IQ3" s="71"/>
      <c r="IR3" s="71"/>
      <c r="IS3" s="71"/>
      <c r="IT3" s="71"/>
      <c r="IU3" s="71"/>
    </row>
    <row r="4" spans="1:255" s="72" customFormat="1" ht="30.6" x14ac:dyDescent="0.2">
      <c r="A4" s="77" t="s">
        <v>664</v>
      </c>
      <c r="B4" s="78" t="s">
        <v>665</v>
      </c>
      <c r="C4" s="78" t="s">
        <v>666</v>
      </c>
      <c r="D4" s="78" t="s">
        <v>667</v>
      </c>
      <c r="E4" s="78" t="s">
        <v>668</v>
      </c>
      <c r="F4" s="78" t="s">
        <v>669</v>
      </c>
      <c r="G4" s="78" t="s">
        <v>670</v>
      </c>
      <c r="H4" s="78" t="s">
        <v>671</v>
      </c>
      <c r="I4" s="78" t="s">
        <v>672</v>
      </c>
      <c r="J4" s="78" t="s">
        <v>673</v>
      </c>
      <c r="K4" s="78" t="s">
        <v>674</v>
      </c>
    </row>
    <row r="5" spans="1:255" s="72" customFormat="1" x14ac:dyDescent="0.2">
      <c r="A5" s="79" t="s">
        <v>377</v>
      </c>
      <c r="B5" s="80" t="s">
        <v>378</v>
      </c>
      <c r="C5" s="80" t="s">
        <v>378</v>
      </c>
      <c r="D5" s="80" t="s">
        <v>378</v>
      </c>
      <c r="E5" s="80" t="s">
        <v>378</v>
      </c>
      <c r="F5" s="80" t="s">
        <v>378</v>
      </c>
      <c r="G5" s="80" t="s">
        <v>378</v>
      </c>
      <c r="H5" s="80" t="s">
        <v>378</v>
      </c>
      <c r="I5" s="80" t="s">
        <v>378</v>
      </c>
      <c r="J5" s="80" t="s">
        <v>378</v>
      </c>
      <c r="K5" s="80" t="s">
        <v>378</v>
      </c>
    </row>
    <row r="6" spans="1:255" s="89" customFormat="1" x14ac:dyDescent="0.2">
      <c r="A6" s="87" t="s">
        <v>675</v>
      </c>
      <c r="B6" s="88"/>
      <c r="C6" s="88"/>
      <c r="D6" s="88"/>
      <c r="E6" s="88"/>
      <c r="F6" s="88"/>
      <c r="G6" s="88"/>
      <c r="H6" s="88"/>
      <c r="I6" s="88"/>
      <c r="J6" s="88"/>
      <c r="K6" s="88"/>
    </row>
    <row r="7" spans="1:255" x14ac:dyDescent="0.2">
      <c r="A7" s="242" t="s">
        <v>676</v>
      </c>
      <c r="B7" s="83" t="s">
        <v>677</v>
      </c>
      <c r="C7" s="83" t="s">
        <v>677</v>
      </c>
      <c r="D7" s="83" t="s">
        <v>677</v>
      </c>
      <c r="E7" s="83" t="s">
        <v>677</v>
      </c>
      <c r="F7" s="83">
        <v>1454</v>
      </c>
      <c r="G7" s="83">
        <v>1400</v>
      </c>
      <c r="H7" s="83">
        <v>1997</v>
      </c>
      <c r="I7" s="83">
        <v>1919</v>
      </c>
      <c r="J7" s="83">
        <v>3071</v>
      </c>
      <c r="K7" s="83">
        <v>1882</v>
      </c>
    </row>
    <row r="8" spans="1:255" x14ac:dyDescent="0.2">
      <c r="A8" s="241" t="s">
        <v>678</v>
      </c>
      <c r="B8" s="83" t="s">
        <v>677</v>
      </c>
      <c r="C8" s="83" t="s">
        <v>677</v>
      </c>
      <c r="D8" s="83" t="s">
        <v>677</v>
      </c>
      <c r="E8" s="83" t="s">
        <v>677</v>
      </c>
      <c r="F8" s="83" t="s">
        <v>677</v>
      </c>
      <c r="G8" s="83" t="s">
        <v>677</v>
      </c>
      <c r="H8" s="83">
        <v>10926</v>
      </c>
      <c r="I8" s="83">
        <v>12577</v>
      </c>
      <c r="J8" s="83">
        <v>13761</v>
      </c>
      <c r="K8" s="83">
        <v>11382</v>
      </c>
    </row>
    <row r="9" spans="1:255" x14ac:dyDescent="0.2">
      <c r="A9" s="244" t="s">
        <v>679</v>
      </c>
      <c r="B9" s="83">
        <v>-2</v>
      </c>
      <c r="C9" s="83" t="s">
        <v>677</v>
      </c>
      <c r="D9" s="83">
        <v>-1</v>
      </c>
      <c r="E9" s="83">
        <v>-3</v>
      </c>
      <c r="F9" s="83">
        <v>-3</v>
      </c>
      <c r="G9" s="83">
        <v>-3</v>
      </c>
      <c r="H9" s="83" t="s">
        <v>677</v>
      </c>
      <c r="I9" s="83" t="s">
        <v>677</v>
      </c>
      <c r="J9" s="83" t="s">
        <v>677</v>
      </c>
      <c r="K9" s="83" t="s">
        <v>677</v>
      </c>
    </row>
    <row r="10" spans="1:255" x14ac:dyDescent="0.2">
      <c r="A10" s="244" t="s">
        <v>680</v>
      </c>
      <c r="B10" s="83">
        <v>-377</v>
      </c>
      <c r="C10" s="83">
        <v>-364</v>
      </c>
      <c r="D10" s="83">
        <v>-450</v>
      </c>
      <c r="E10" s="83">
        <v>-397</v>
      </c>
      <c r="F10" s="83">
        <v>-85</v>
      </c>
      <c r="G10" s="83">
        <v>-90</v>
      </c>
      <c r="H10" s="83">
        <v>-71</v>
      </c>
      <c r="I10" s="83">
        <v>-57</v>
      </c>
      <c r="J10" s="83">
        <v>-112</v>
      </c>
      <c r="K10" s="83">
        <v>-79</v>
      </c>
    </row>
    <row r="11" spans="1:255" x14ac:dyDescent="0.2">
      <c r="A11" s="243" t="s">
        <v>681</v>
      </c>
      <c r="B11" s="83" t="s">
        <v>677</v>
      </c>
      <c r="C11" s="83" t="s">
        <v>677</v>
      </c>
      <c r="D11" s="83" t="s">
        <v>677</v>
      </c>
      <c r="E11" s="83" t="s">
        <v>677</v>
      </c>
      <c r="F11" s="83">
        <v>3</v>
      </c>
      <c r="G11" s="83">
        <v>2</v>
      </c>
      <c r="H11" s="83">
        <v>5</v>
      </c>
      <c r="I11" s="83" t="s">
        <v>677</v>
      </c>
      <c r="J11" s="83" t="s">
        <v>677</v>
      </c>
      <c r="K11" s="83" t="s">
        <v>677</v>
      </c>
      <c r="M11" s="274"/>
      <c r="N11" s="277" t="s">
        <v>682</v>
      </c>
      <c r="O11" s="274" t="s">
        <v>683</v>
      </c>
      <c r="P11" s="274" t="s">
        <v>684</v>
      </c>
      <c r="Q11" s="274" t="s">
        <v>685</v>
      </c>
      <c r="R11" s="274" t="s">
        <v>686</v>
      </c>
      <c r="S11" s="274" t="s">
        <v>687</v>
      </c>
      <c r="T11" s="274" t="s">
        <v>688</v>
      </c>
      <c r="U11" s="274" t="s">
        <v>399</v>
      </c>
      <c r="V11" s="274" t="s">
        <v>400</v>
      </c>
      <c r="W11" s="274" t="s">
        <v>401</v>
      </c>
    </row>
    <row r="12" spans="1:255" x14ac:dyDescent="0.2">
      <c r="A12" s="241" t="s">
        <v>689</v>
      </c>
      <c r="B12" s="83">
        <v>4219</v>
      </c>
      <c r="C12" s="83">
        <v>4253</v>
      </c>
      <c r="D12" s="83">
        <v>4476</v>
      </c>
      <c r="E12" s="83">
        <v>4568</v>
      </c>
      <c r="F12" s="83">
        <v>4925</v>
      </c>
      <c r="G12" s="83">
        <v>5313</v>
      </c>
      <c r="H12" s="83" t="s">
        <v>677</v>
      </c>
      <c r="I12" s="83" t="s">
        <v>677</v>
      </c>
      <c r="J12" s="83" t="s">
        <v>677</v>
      </c>
      <c r="K12" s="83" t="s">
        <v>677</v>
      </c>
      <c r="M12" s="278" t="s">
        <v>690</v>
      </c>
      <c r="N12" s="275">
        <f>B$12+B$13+B$17</f>
        <v>9252</v>
      </c>
      <c r="O12" s="275">
        <f>C$12+C$13+C$17</f>
        <v>9280</v>
      </c>
      <c r="P12" s="275">
        <f>D$12+D13</f>
        <v>8261</v>
      </c>
      <c r="Q12" s="275">
        <f>E$12+E13</f>
        <v>8530</v>
      </c>
      <c r="R12" s="275">
        <f>F$12+F13</f>
        <v>9450</v>
      </c>
      <c r="S12" s="275">
        <f>G$12+G13</f>
        <v>10061</v>
      </c>
      <c r="T12" s="275">
        <f>H8</f>
        <v>10926</v>
      </c>
      <c r="U12" s="276">
        <f>I8</f>
        <v>12577</v>
      </c>
      <c r="V12" s="276">
        <f>J8</f>
        <v>13761</v>
      </c>
      <c r="W12" s="276">
        <f>K8</f>
        <v>11382</v>
      </c>
    </row>
    <row r="13" spans="1:255" x14ac:dyDescent="0.2">
      <c r="A13" s="241" t="s">
        <v>691</v>
      </c>
      <c r="B13" s="83">
        <v>3489</v>
      </c>
      <c r="C13" s="83">
        <v>3471</v>
      </c>
      <c r="D13" s="83">
        <v>3785</v>
      </c>
      <c r="E13" s="83">
        <v>3962</v>
      </c>
      <c r="F13" s="83">
        <v>4525</v>
      </c>
      <c r="G13" s="83">
        <v>4748</v>
      </c>
      <c r="H13" s="83" t="s">
        <v>677</v>
      </c>
      <c r="I13" s="83" t="s">
        <v>677</v>
      </c>
      <c r="J13" s="83" t="s">
        <v>677</v>
      </c>
      <c r="K13" s="83" t="s">
        <v>677</v>
      </c>
      <c r="M13" s="274" t="s">
        <v>692</v>
      </c>
      <c r="N13" s="275">
        <f>B$15+B$16</f>
        <v>1322</v>
      </c>
      <c r="O13" s="275">
        <f>C$15+C$16</f>
        <v>1233</v>
      </c>
      <c r="P13" s="275">
        <f>D$15+D$16</f>
        <v>1736</v>
      </c>
      <c r="Q13" s="275">
        <f>E$15+E$16</f>
        <v>1848</v>
      </c>
      <c r="R13" s="276">
        <f t="shared" ref="R13:W13" si="0">F7</f>
        <v>1454</v>
      </c>
      <c r="S13" s="276">
        <f t="shared" si="0"/>
        <v>1400</v>
      </c>
      <c r="T13" s="276">
        <f t="shared" si="0"/>
        <v>1997</v>
      </c>
      <c r="U13" s="276">
        <f t="shared" si="0"/>
        <v>1919</v>
      </c>
      <c r="V13" s="276">
        <f t="shared" si="0"/>
        <v>3071</v>
      </c>
      <c r="W13" s="276">
        <f t="shared" si="0"/>
        <v>1882</v>
      </c>
    </row>
    <row r="14" spans="1:255" x14ac:dyDescent="0.2">
      <c r="A14" s="243" t="s">
        <v>693</v>
      </c>
      <c r="B14" s="83">
        <v>36</v>
      </c>
      <c r="C14" s="83">
        <v>34</v>
      </c>
      <c r="D14" s="83">
        <v>94</v>
      </c>
      <c r="E14" s="83">
        <v>124</v>
      </c>
      <c r="F14" s="83">
        <v>10</v>
      </c>
      <c r="G14" s="83" t="s">
        <v>677</v>
      </c>
      <c r="H14" s="83" t="s">
        <v>677</v>
      </c>
      <c r="I14" s="83" t="s">
        <v>677</v>
      </c>
      <c r="J14" s="83" t="s">
        <v>677</v>
      </c>
      <c r="K14" s="83" t="s">
        <v>677</v>
      </c>
      <c r="M14" s="274" t="s">
        <v>694</v>
      </c>
      <c r="N14" s="275">
        <f>B9+B10</f>
        <v>-379</v>
      </c>
      <c r="O14" s="276">
        <f>C10</f>
        <v>-364</v>
      </c>
      <c r="P14" s="275">
        <f>D$9+D$10</f>
        <v>-451</v>
      </c>
      <c r="Q14" s="275">
        <f>E$9+E$10</f>
        <v>-400</v>
      </c>
      <c r="R14" s="275">
        <f>F$9+F$10</f>
        <v>-88</v>
      </c>
      <c r="S14" s="275">
        <f>G$9+G$10</f>
        <v>-93</v>
      </c>
      <c r="T14" s="275">
        <f>H$10</f>
        <v>-71</v>
      </c>
      <c r="U14" s="275">
        <f>I$10</f>
        <v>-57</v>
      </c>
      <c r="V14" s="275">
        <f>J$10</f>
        <v>-112</v>
      </c>
      <c r="W14" s="275">
        <f>K$10</f>
        <v>-79</v>
      </c>
    </row>
    <row r="15" spans="1:255" x14ac:dyDescent="0.2">
      <c r="A15" s="242" t="s">
        <v>695</v>
      </c>
      <c r="B15" s="83">
        <v>669</v>
      </c>
      <c r="C15" s="83">
        <v>725</v>
      </c>
      <c r="D15" s="83">
        <v>1196</v>
      </c>
      <c r="E15" s="83">
        <v>1376</v>
      </c>
      <c r="F15" s="83" t="s">
        <v>677</v>
      </c>
      <c r="G15" s="83" t="s">
        <v>677</v>
      </c>
      <c r="H15" s="83" t="s">
        <v>677</v>
      </c>
      <c r="I15" s="83" t="s">
        <v>677</v>
      </c>
      <c r="J15" s="83" t="s">
        <v>677</v>
      </c>
      <c r="K15" s="83" t="s">
        <v>677</v>
      </c>
      <c r="M15" s="274" t="s">
        <v>696</v>
      </c>
      <c r="N15" s="276">
        <f>B$14</f>
        <v>36</v>
      </c>
      <c r="O15" s="276">
        <f>C$14</f>
        <v>34</v>
      </c>
      <c r="P15" s="276">
        <f>D$14</f>
        <v>94</v>
      </c>
      <c r="Q15" s="276">
        <f>E$14</f>
        <v>124</v>
      </c>
      <c r="R15" s="275">
        <f>F14+F11</f>
        <v>13</v>
      </c>
      <c r="S15" s="276">
        <f>G11</f>
        <v>2</v>
      </c>
      <c r="T15" s="276">
        <f>H11</f>
        <v>5</v>
      </c>
      <c r="U15" s="274"/>
      <c r="V15" s="274"/>
      <c r="W15" s="274"/>
    </row>
    <row r="16" spans="1:255" x14ac:dyDescent="0.2">
      <c r="A16" s="242" t="s">
        <v>697</v>
      </c>
      <c r="B16" s="83">
        <v>653</v>
      </c>
      <c r="C16" s="83">
        <v>508</v>
      </c>
      <c r="D16" s="83">
        <v>540</v>
      </c>
      <c r="E16" s="83">
        <v>472</v>
      </c>
      <c r="F16" s="83" t="s">
        <v>677</v>
      </c>
      <c r="G16" s="83" t="s">
        <v>677</v>
      </c>
      <c r="H16" s="83" t="s">
        <v>677</v>
      </c>
      <c r="I16" s="83" t="s">
        <v>677</v>
      </c>
      <c r="J16" s="83" t="s">
        <v>677</v>
      </c>
      <c r="K16" s="83" t="s">
        <v>677</v>
      </c>
    </row>
    <row r="17" spans="1:11" x14ac:dyDescent="0.2">
      <c r="A17" s="241" t="s">
        <v>698</v>
      </c>
      <c r="B17" s="83">
        <v>1544</v>
      </c>
      <c r="C17" s="83">
        <v>1556</v>
      </c>
      <c r="D17" s="83" t="s">
        <v>677</v>
      </c>
      <c r="E17" s="83" t="s">
        <v>677</v>
      </c>
      <c r="F17" s="83" t="s">
        <v>677</v>
      </c>
      <c r="G17" s="83" t="s">
        <v>677</v>
      </c>
      <c r="H17" s="83" t="s">
        <v>677</v>
      </c>
      <c r="I17" s="83" t="s">
        <v>677</v>
      </c>
      <c r="J17" s="83" t="s">
        <v>677</v>
      </c>
      <c r="K17" s="83" t="s">
        <v>677</v>
      </c>
    </row>
    <row r="18" spans="1:11" x14ac:dyDescent="0.2">
      <c r="A18" s="81" t="s">
        <v>699</v>
      </c>
      <c r="B18" s="84">
        <v>10231</v>
      </c>
      <c r="C18" s="84">
        <v>10183</v>
      </c>
      <c r="D18" s="84">
        <v>9640</v>
      </c>
      <c r="E18" s="84">
        <v>10102</v>
      </c>
      <c r="F18" s="84">
        <v>10829</v>
      </c>
      <c r="G18" s="84">
        <v>11370</v>
      </c>
      <c r="H18" s="84">
        <v>12857</v>
      </c>
      <c r="I18" s="84">
        <v>14439</v>
      </c>
      <c r="J18" s="84">
        <v>16720</v>
      </c>
      <c r="K18" s="84">
        <v>13185</v>
      </c>
    </row>
    <row r="19" spans="1:11" x14ac:dyDescent="0.2">
      <c r="A19" s="82"/>
      <c r="B19" s="82"/>
      <c r="C19" s="82"/>
      <c r="D19" s="82"/>
      <c r="E19" s="82"/>
      <c r="F19" s="82"/>
      <c r="G19" s="82"/>
      <c r="H19" s="82"/>
      <c r="I19" s="82"/>
      <c r="J19" s="82"/>
      <c r="K19" s="82"/>
    </row>
    <row r="20" spans="1:11" s="92" customFormat="1" x14ac:dyDescent="0.2">
      <c r="A20" s="90" t="s">
        <v>700</v>
      </c>
      <c r="B20" s="91"/>
      <c r="C20" s="91"/>
      <c r="D20" s="91"/>
      <c r="E20" s="91"/>
      <c r="F20" s="91"/>
      <c r="G20" s="91"/>
      <c r="H20" s="91"/>
      <c r="I20" s="91"/>
      <c r="J20" s="91"/>
      <c r="K20" s="91"/>
    </row>
    <row r="21" spans="1:11" x14ac:dyDescent="0.2">
      <c r="A21" s="82" t="s">
        <v>676</v>
      </c>
      <c r="B21" s="83" t="s">
        <v>677</v>
      </c>
      <c r="C21" s="83" t="s">
        <v>677</v>
      </c>
      <c r="D21" s="83" t="s">
        <v>677</v>
      </c>
      <c r="E21" s="83" t="s">
        <v>677</v>
      </c>
      <c r="F21" s="83">
        <v>-155</v>
      </c>
      <c r="G21" s="83">
        <v>-174</v>
      </c>
      <c r="H21" s="83">
        <v>-205</v>
      </c>
      <c r="I21" s="83">
        <v>-104</v>
      </c>
      <c r="J21" s="83">
        <v>-129</v>
      </c>
      <c r="K21" s="83">
        <v>243</v>
      </c>
    </row>
    <row r="22" spans="1:11" x14ac:dyDescent="0.2">
      <c r="A22" s="82" t="s">
        <v>678</v>
      </c>
      <c r="B22" s="83" t="s">
        <v>677</v>
      </c>
      <c r="C22" s="83" t="s">
        <v>677</v>
      </c>
      <c r="D22" s="83" t="s">
        <v>677</v>
      </c>
      <c r="E22" s="83" t="s">
        <v>677</v>
      </c>
      <c r="F22" s="83" t="s">
        <v>677</v>
      </c>
      <c r="G22" s="83" t="s">
        <v>677</v>
      </c>
      <c r="H22" s="83">
        <v>-569</v>
      </c>
      <c r="I22" s="83">
        <v>-647</v>
      </c>
      <c r="J22" s="83">
        <v>-782</v>
      </c>
      <c r="K22" s="83">
        <v>-848</v>
      </c>
    </row>
    <row r="23" spans="1:11" x14ac:dyDescent="0.2">
      <c r="A23" s="82" t="s">
        <v>680</v>
      </c>
      <c r="B23" s="83">
        <v>120</v>
      </c>
      <c r="C23" s="83">
        <v>119</v>
      </c>
      <c r="D23" s="83">
        <v>118</v>
      </c>
      <c r="E23" s="83">
        <v>106</v>
      </c>
      <c r="F23" s="83">
        <v>83</v>
      </c>
      <c r="G23" s="83">
        <v>54</v>
      </c>
      <c r="H23" s="83">
        <v>20</v>
      </c>
      <c r="I23" s="83" t="s">
        <v>677</v>
      </c>
      <c r="J23" s="83" t="s">
        <v>677</v>
      </c>
      <c r="K23" s="83" t="s">
        <v>677</v>
      </c>
    </row>
    <row r="24" spans="1:11" x14ac:dyDescent="0.2">
      <c r="A24" s="82" t="s">
        <v>681</v>
      </c>
      <c r="B24" s="83">
        <v>-263</v>
      </c>
      <c r="C24" s="83">
        <v>-282</v>
      </c>
      <c r="D24" s="83">
        <v>-284</v>
      </c>
      <c r="E24" s="83">
        <v>-496</v>
      </c>
      <c r="F24" s="83">
        <v>-450</v>
      </c>
      <c r="G24" s="83">
        <v>-390</v>
      </c>
      <c r="H24" s="83">
        <v>-444</v>
      </c>
      <c r="I24" s="83" t="s">
        <v>677</v>
      </c>
      <c r="J24" s="83" t="s">
        <v>677</v>
      </c>
      <c r="K24" s="83" t="s">
        <v>677</v>
      </c>
    </row>
    <row r="25" spans="1:11" x14ac:dyDescent="0.2">
      <c r="A25" s="82" t="s">
        <v>689</v>
      </c>
      <c r="B25" s="83">
        <v>-204</v>
      </c>
      <c r="C25" s="83">
        <v>-195</v>
      </c>
      <c r="D25" s="83">
        <v>-203</v>
      </c>
      <c r="E25" s="83">
        <v>-221</v>
      </c>
      <c r="F25" s="83">
        <v>-411</v>
      </c>
      <c r="G25" s="83">
        <v>-413</v>
      </c>
      <c r="H25" s="83" t="s">
        <v>677</v>
      </c>
      <c r="I25" s="83" t="s">
        <v>677</v>
      </c>
      <c r="J25" s="83" t="s">
        <v>677</v>
      </c>
      <c r="K25" s="83" t="s">
        <v>677</v>
      </c>
    </row>
    <row r="26" spans="1:11" x14ac:dyDescent="0.2">
      <c r="A26" s="82" t="s">
        <v>691</v>
      </c>
      <c r="B26" s="83">
        <v>-84</v>
      </c>
      <c r="C26" s="83">
        <v>-97</v>
      </c>
      <c r="D26" s="83">
        <v>-102</v>
      </c>
      <c r="E26" s="83">
        <v>-115</v>
      </c>
      <c r="F26" s="83">
        <v>-141</v>
      </c>
      <c r="G26" s="83">
        <v>-158</v>
      </c>
      <c r="H26" s="83" t="s">
        <v>677</v>
      </c>
      <c r="I26" s="83" t="s">
        <v>677</v>
      </c>
      <c r="J26" s="83" t="s">
        <v>677</v>
      </c>
      <c r="K26" s="83" t="s">
        <v>677</v>
      </c>
    </row>
    <row r="27" spans="1:11" x14ac:dyDescent="0.2">
      <c r="A27" s="82" t="s">
        <v>693</v>
      </c>
      <c r="B27" s="83">
        <v>-3</v>
      </c>
      <c r="C27" s="83">
        <v>-4</v>
      </c>
      <c r="D27" s="83">
        <v>-15</v>
      </c>
      <c r="E27" s="83">
        <v>-19</v>
      </c>
      <c r="F27" s="83">
        <v>-3</v>
      </c>
      <c r="G27" s="83" t="s">
        <v>677</v>
      </c>
      <c r="H27" s="83" t="s">
        <v>677</v>
      </c>
      <c r="I27" s="83" t="s">
        <v>677</v>
      </c>
      <c r="J27" s="83" t="s">
        <v>677</v>
      </c>
      <c r="K27" s="83" t="s">
        <v>677</v>
      </c>
    </row>
    <row r="28" spans="1:11" x14ac:dyDescent="0.2">
      <c r="A28" s="82" t="s">
        <v>695</v>
      </c>
      <c r="B28" s="83">
        <v>-23</v>
      </c>
      <c r="C28" s="83">
        <v>-13</v>
      </c>
      <c r="D28" s="83">
        <v>-97</v>
      </c>
      <c r="E28" s="83">
        <v>-120</v>
      </c>
      <c r="F28" s="83" t="s">
        <v>677</v>
      </c>
      <c r="G28" s="83" t="s">
        <v>677</v>
      </c>
      <c r="H28" s="83" t="s">
        <v>677</v>
      </c>
      <c r="I28" s="83" t="s">
        <v>677</v>
      </c>
      <c r="J28" s="83" t="s">
        <v>677</v>
      </c>
      <c r="K28" s="83" t="s">
        <v>677</v>
      </c>
    </row>
    <row r="29" spans="1:11" x14ac:dyDescent="0.2">
      <c r="A29" s="82" t="s">
        <v>697</v>
      </c>
      <c r="B29" s="83">
        <v>-72</v>
      </c>
      <c r="C29" s="83">
        <v>-43</v>
      </c>
      <c r="D29" s="83">
        <v>-39</v>
      </c>
      <c r="E29" s="83">
        <v>-21</v>
      </c>
      <c r="F29" s="83" t="s">
        <v>677</v>
      </c>
      <c r="G29" s="83" t="s">
        <v>677</v>
      </c>
      <c r="H29" s="83" t="s">
        <v>677</v>
      </c>
      <c r="I29" s="83" t="s">
        <v>677</v>
      </c>
      <c r="J29" s="83" t="s">
        <v>677</v>
      </c>
      <c r="K29" s="83" t="s">
        <v>677</v>
      </c>
    </row>
    <row r="30" spans="1:11" x14ac:dyDescent="0.2">
      <c r="A30" s="82" t="s">
        <v>698</v>
      </c>
      <c r="B30" s="83">
        <v>-32</v>
      </c>
      <c r="C30" s="83">
        <v>-38</v>
      </c>
      <c r="D30" s="83" t="s">
        <v>677</v>
      </c>
      <c r="E30" s="83" t="s">
        <v>677</v>
      </c>
      <c r="F30" s="83" t="s">
        <v>677</v>
      </c>
      <c r="G30" s="83" t="s">
        <v>677</v>
      </c>
      <c r="H30" s="83" t="s">
        <v>677</v>
      </c>
      <c r="I30" s="83" t="s">
        <v>677</v>
      </c>
      <c r="J30" s="83" t="s">
        <v>677</v>
      </c>
      <c r="K30" s="83" t="s">
        <v>677</v>
      </c>
    </row>
    <row r="31" spans="1:11" x14ac:dyDescent="0.2">
      <c r="A31" s="81" t="s">
        <v>701</v>
      </c>
      <c r="B31" s="84">
        <v>-561</v>
      </c>
      <c r="C31" s="84">
        <v>-553</v>
      </c>
      <c r="D31" s="84">
        <v>-622</v>
      </c>
      <c r="E31" s="84">
        <v>-886</v>
      </c>
      <c r="F31" s="84">
        <v>-1077</v>
      </c>
      <c r="G31" s="84">
        <v>-1081</v>
      </c>
      <c r="H31" s="84">
        <v>-1198</v>
      </c>
      <c r="I31" s="84">
        <v>-751</v>
      </c>
      <c r="J31" s="84">
        <v>-911</v>
      </c>
      <c r="K31" s="84">
        <v>-605</v>
      </c>
    </row>
    <row r="32" spans="1:11" x14ac:dyDescent="0.2">
      <c r="A32" s="82"/>
      <c r="B32" s="82"/>
      <c r="C32" s="82"/>
      <c r="D32" s="82"/>
      <c r="E32" s="82"/>
      <c r="F32" s="82"/>
      <c r="G32" s="82"/>
      <c r="H32" s="82"/>
      <c r="I32" s="82"/>
      <c r="J32" s="82"/>
      <c r="K32" s="82"/>
    </row>
    <row r="33" spans="1:21" s="95" customFormat="1" x14ac:dyDescent="0.2">
      <c r="A33" s="93" t="s">
        <v>702</v>
      </c>
      <c r="B33" s="94"/>
      <c r="C33" s="94"/>
      <c r="D33" s="94"/>
      <c r="E33" s="94"/>
      <c r="F33" s="94"/>
      <c r="G33" s="94"/>
      <c r="H33" s="94"/>
      <c r="I33" s="94"/>
      <c r="J33" s="94"/>
      <c r="K33" s="94"/>
    </row>
    <row r="34" spans="1:21" x14ac:dyDescent="0.2">
      <c r="A34" s="82" t="s">
        <v>676</v>
      </c>
      <c r="B34" s="83" t="s">
        <v>677</v>
      </c>
      <c r="C34" s="83" t="s">
        <v>677</v>
      </c>
      <c r="D34" s="83" t="s">
        <v>677</v>
      </c>
      <c r="E34" s="83" t="s">
        <v>677</v>
      </c>
      <c r="F34" s="83">
        <v>222</v>
      </c>
      <c r="G34" s="83">
        <v>149</v>
      </c>
      <c r="H34" s="83">
        <v>238</v>
      </c>
      <c r="I34" s="83">
        <v>249</v>
      </c>
      <c r="J34" s="83">
        <v>673</v>
      </c>
      <c r="K34" s="83">
        <v>-164</v>
      </c>
    </row>
    <row r="35" spans="1:21" x14ac:dyDescent="0.2">
      <c r="A35" s="82" t="s">
        <v>678</v>
      </c>
      <c r="B35" s="83" t="s">
        <v>677</v>
      </c>
      <c r="C35" s="83" t="s">
        <v>677</v>
      </c>
      <c r="D35" s="83" t="s">
        <v>677</v>
      </c>
      <c r="E35" s="83" t="s">
        <v>677</v>
      </c>
      <c r="F35" s="83" t="s">
        <v>677</v>
      </c>
      <c r="G35" s="83" t="s">
        <v>677</v>
      </c>
      <c r="H35" s="83">
        <v>-109</v>
      </c>
      <c r="I35" s="83">
        <v>320</v>
      </c>
      <c r="J35" s="83">
        <v>-31</v>
      </c>
      <c r="K35" s="83">
        <v>184</v>
      </c>
    </row>
    <row r="36" spans="1:21" x14ac:dyDescent="0.2">
      <c r="A36" s="82" t="s">
        <v>703</v>
      </c>
      <c r="B36" s="83" t="s">
        <v>677</v>
      </c>
      <c r="C36" s="83" t="s">
        <v>677</v>
      </c>
      <c r="D36" s="83" t="s">
        <v>677</v>
      </c>
      <c r="E36" s="83" t="s">
        <v>677</v>
      </c>
      <c r="F36" s="83" t="s">
        <v>677</v>
      </c>
      <c r="G36" s="83">
        <v>1</v>
      </c>
      <c r="H36" s="83" t="s">
        <v>677</v>
      </c>
      <c r="I36" s="83" t="s">
        <v>677</v>
      </c>
      <c r="J36" s="83" t="s">
        <v>677</v>
      </c>
      <c r="K36" s="83" t="s">
        <v>677</v>
      </c>
      <c r="R36" s="273"/>
      <c r="S36" s="273"/>
      <c r="T36" s="72"/>
      <c r="U36" s="72"/>
    </row>
    <row r="37" spans="1:21" x14ac:dyDescent="0.2">
      <c r="A37" s="82" t="s">
        <v>681</v>
      </c>
      <c r="B37" s="83">
        <v>-138</v>
      </c>
      <c r="C37" s="83">
        <v>-184</v>
      </c>
      <c r="D37" s="83">
        <v>741</v>
      </c>
      <c r="E37" s="83">
        <v>-135</v>
      </c>
      <c r="F37" s="83">
        <v>-202</v>
      </c>
      <c r="G37" s="83">
        <v>-187</v>
      </c>
      <c r="H37" s="83">
        <v>-30</v>
      </c>
      <c r="I37" s="83" t="s">
        <v>677</v>
      </c>
      <c r="J37" s="83" t="s">
        <v>677</v>
      </c>
      <c r="K37" s="83" t="s">
        <v>677</v>
      </c>
      <c r="R37" s="273"/>
      <c r="S37" s="72"/>
      <c r="T37" s="72"/>
      <c r="U37" s="72"/>
    </row>
    <row r="38" spans="1:21" x14ac:dyDescent="0.2">
      <c r="A38" s="82" t="s">
        <v>689</v>
      </c>
      <c r="B38" s="83">
        <v>284</v>
      </c>
      <c r="C38" s="83">
        <v>280</v>
      </c>
      <c r="D38" s="83">
        <v>155</v>
      </c>
      <c r="E38" s="83">
        <v>173</v>
      </c>
      <c r="F38" s="83">
        <v>171</v>
      </c>
      <c r="G38" s="83">
        <v>190</v>
      </c>
      <c r="H38" s="83" t="s">
        <v>677</v>
      </c>
      <c r="I38" s="83" t="s">
        <v>677</v>
      </c>
      <c r="J38" s="83" t="s">
        <v>677</v>
      </c>
      <c r="K38" s="83" t="s">
        <v>677</v>
      </c>
      <c r="R38" s="273"/>
      <c r="S38" s="89"/>
      <c r="T38" s="89"/>
      <c r="U38" s="89"/>
    </row>
    <row r="39" spans="1:21" x14ac:dyDescent="0.2">
      <c r="A39" s="82" t="s">
        <v>691</v>
      </c>
      <c r="B39" s="83">
        <v>138</v>
      </c>
      <c r="C39" s="83">
        <v>143</v>
      </c>
      <c r="D39" s="83">
        <v>160</v>
      </c>
      <c r="E39" s="83">
        <v>92</v>
      </c>
      <c r="F39" s="83">
        <v>120</v>
      </c>
      <c r="G39" s="83">
        <v>96</v>
      </c>
      <c r="H39" s="83" t="s">
        <v>677</v>
      </c>
      <c r="I39" s="83" t="s">
        <v>677</v>
      </c>
      <c r="J39" s="83" t="s">
        <v>677</v>
      </c>
      <c r="K39" s="83" t="s">
        <v>677</v>
      </c>
    </row>
    <row r="40" spans="1:21" x14ac:dyDescent="0.2">
      <c r="A40" s="82" t="s">
        <v>693</v>
      </c>
      <c r="B40" s="83">
        <v>-49</v>
      </c>
      <c r="C40" s="83">
        <v>-38</v>
      </c>
      <c r="D40" s="83">
        <v>-226</v>
      </c>
      <c r="E40" s="83">
        <v>71</v>
      </c>
      <c r="F40" s="83">
        <v>4</v>
      </c>
      <c r="G40" s="83" t="s">
        <v>677</v>
      </c>
      <c r="H40" s="83" t="s">
        <v>677</v>
      </c>
      <c r="I40" s="83" t="s">
        <v>677</v>
      </c>
      <c r="J40" s="83" t="s">
        <v>677</v>
      </c>
      <c r="K40" s="83" t="s">
        <v>677</v>
      </c>
    </row>
    <row r="41" spans="1:21" x14ac:dyDescent="0.2">
      <c r="A41" s="82" t="s">
        <v>695</v>
      </c>
      <c r="B41" s="83">
        <v>11</v>
      </c>
      <c r="C41" s="83">
        <v>188</v>
      </c>
      <c r="D41" s="83">
        <v>227</v>
      </c>
      <c r="E41" s="83">
        <v>185</v>
      </c>
      <c r="F41" s="83" t="s">
        <v>677</v>
      </c>
      <c r="G41" s="83" t="s">
        <v>677</v>
      </c>
      <c r="H41" s="83" t="s">
        <v>677</v>
      </c>
      <c r="I41" s="83" t="s">
        <v>677</v>
      </c>
      <c r="J41" s="83" t="s">
        <v>677</v>
      </c>
      <c r="K41" s="83" t="s">
        <v>677</v>
      </c>
      <c r="N41" s="272"/>
    </row>
    <row r="42" spans="1:21" x14ac:dyDescent="0.2">
      <c r="A42" s="82" t="s">
        <v>697</v>
      </c>
      <c r="B42" s="83">
        <v>28</v>
      </c>
      <c r="C42" s="83">
        <v>-80</v>
      </c>
      <c r="D42" s="83">
        <v>-119</v>
      </c>
      <c r="E42" s="83">
        <v>-435</v>
      </c>
      <c r="F42" s="83" t="s">
        <v>677</v>
      </c>
      <c r="G42" s="83" t="s">
        <v>677</v>
      </c>
      <c r="H42" s="83" t="s">
        <v>677</v>
      </c>
      <c r="I42" s="83" t="s">
        <v>677</v>
      </c>
      <c r="J42" s="83" t="s">
        <v>677</v>
      </c>
      <c r="K42" s="83" t="s">
        <v>677</v>
      </c>
    </row>
    <row r="43" spans="1:21" x14ac:dyDescent="0.2">
      <c r="A43" s="82" t="s">
        <v>698</v>
      </c>
      <c r="B43" s="83">
        <v>67</v>
      </c>
      <c r="C43" s="83">
        <v>80</v>
      </c>
      <c r="D43" s="83" t="s">
        <v>677</v>
      </c>
      <c r="E43" s="83" t="s">
        <v>677</v>
      </c>
      <c r="F43" s="83" t="s">
        <v>677</v>
      </c>
      <c r="G43" s="83" t="s">
        <v>677</v>
      </c>
      <c r="H43" s="83" t="s">
        <v>677</v>
      </c>
      <c r="I43" s="83" t="s">
        <v>677</v>
      </c>
      <c r="J43" s="83" t="s">
        <v>677</v>
      </c>
      <c r="K43" s="83" t="s">
        <v>677</v>
      </c>
    </row>
    <row r="44" spans="1:21" x14ac:dyDescent="0.2">
      <c r="A44" s="81" t="s">
        <v>704</v>
      </c>
      <c r="B44" s="84">
        <v>341</v>
      </c>
      <c r="C44" s="84">
        <v>389</v>
      </c>
      <c r="D44" s="84">
        <v>938</v>
      </c>
      <c r="E44" s="84">
        <v>-49</v>
      </c>
      <c r="F44" s="84">
        <v>315</v>
      </c>
      <c r="G44" s="84">
        <v>249</v>
      </c>
      <c r="H44" s="84">
        <v>99</v>
      </c>
      <c r="I44" s="84">
        <v>569</v>
      </c>
      <c r="J44" s="84">
        <v>642</v>
      </c>
      <c r="K44" s="84">
        <v>20</v>
      </c>
    </row>
    <row r="45" spans="1:21" x14ac:dyDescent="0.2">
      <c r="A45" s="82"/>
      <c r="B45" s="82"/>
      <c r="C45" s="82"/>
      <c r="D45" s="82"/>
      <c r="E45" s="82"/>
      <c r="F45" s="82"/>
      <c r="G45" s="82"/>
      <c r="H45" s="82"/>
      <c r="I45" s="82"/>
      <c r="J45" s="82"/>
      <c r="K45" s="82"/>
    </row>
    <row r="46" spans="1:21" s="98" customFormat="1" x14ac:dyDescent="0.2">
      <c r="A46" s="96" t="s">
        <v>705</v>
      </c>
      <c r="B46" s="97"/>
      <c r="C46" s="97"/>
      <c r="D46" s="97"/>
      <c r="E46" s="97"/>
      <c r="F46" s="97"/>
      <c r="G46" s="97"/>
      <c r="H46" s="97"/>
      <c r="I46" s="97"/>
      <c r="J46" s="97"/>
      <c r="K46" s="97"/>
    </row>
    <row r="47" spans="1:21" x14ac:dyDescent="0.2">
      <c r="A47" s="82" t="s">
        <v>676</v>
      </c>
      <c r="B47" s="83" t="s">
        <v>677</v>
      </c>
      <c r="C47" s="83" t="s">
        <v>677</v>
      </c>
      <c r="D47" s="83" t="s">
        <v>677</v>
      </c>
      <c r="E47" s="83" t="s">
        <v>677</v>
      </c>
      <c r="F47" s="83">
        <v>247</v>
      </c>
      <c r="G47" s="83">
        <v>580</v>
      </c>
      <c r="H47" s="83">
        <v>682</v>
      </c>
      <c r="I47" s="83">
        <v>310</v>
      </c>
      <c r="J47" s="83">
        <v>877</v>
      </c>
      <c r="K47" s="83">
        <v>911</v>
      </c>
    </row>
    <row r="48" spans="1:21" x14ac:dyDescent="0.2">
      <c r="A48" s="82" t="s">
        <v>678</v>
      </c>
      <c r="B48" s="83" t="s">
        <v>677</v>
      </c>
      <c r="C48" s="83" t="s">
        <v>677</v>
      </c>
      <c r="D48" s="83" t="s">
        <v>677</v>
      </c>
      <c r="E48" s="83" t="s">
        <v>677</v>
      </c>
      <c r="F48" s="83" t="s">
        <v>677</v>
      </c>
      <c r="G48" s="83" t="s">
        <v>677</v>
      </c>
      <c r="H48" s="83">
        <v>392</v>
      </c>
      <c r="I48" s="83">
        <v>1514</v>
      </c>
      <c r="J48" s="83">
        <v>1747</v>
      </c>
      <c r="K48" s="83">
        <v>1846</v>
      </c>
    </row>
    <row r="49" spans="1:11" x14ac:dyDescent="0.2">
      <c r="A49" s="82" t="s">
        <v>703</v>
      </c>
      <c r="B49" s="83" t="s">
        <v>677</v>
      </c>
      <c r="C49" s="83" t="s">
        <v>677</v>
      </c>
      <c r="D49" s="83" t="s">
        <v>677</v>
      </c>
      <c r="E49" s="83">
        <v>371</v>
      </c>
      <c r="F49" s="83">
        <v>528</v>
      </c>
      <c r="G49" s="83">
        <v>579</v>
      </c>
      <c r="H49" s="83">
        <v>616</v>
      </c>
      <c r="I49" s="83">
        <v>736</v>
      </c>
      <c r="J49" s="83">
        <v>694</v>
      </c>
      <c r="K49" s="83">
        <v>781</v>
      </c>
    </row>
    <row r="50" spans="1:11" x14ac:dyDescent="0.2">
      <c r="A50" s="82" t="s">
        <v>706</v>
      </c>
      <c r="B50" s="83" t="s">
        <v>677</v>
      </c>
      <c r="C50" s="83" t="s">
        <v>677</v>
      </c>
      <c r="D50" s="83" t="s">
        <v>677</v>
      </c>
      <c r="E50" s="83" t="s">
        <v>677</v>
      </c>
      <c r="F50" s="83" t="s">
        <v>677</v>
      </c>
      <c r="G50" s="83" t="s">
        <v>677</v>
      </c>
      <c r="H50" s="83" t="s">
        <v>677</v>
      </c>
      <c r="I50" s="83">
        <v>-466</v>
      </c>
      <c r="J50" s="83">
        <v>-288</v>
      </c>
      <c r="K50" s="83">
        <v>-721</v>
      </c>
    </row>
    <row r="51" spans="1:11" x14ac:dyDescent="0.2">
      <c r="A51" s="82" t="s">
        <v>681</v>
      </c>
      <c r="B51" s="83">
        <v>-152</v>
      </c>
      <c r="C51" s="83">
        <v>-116</v>
      </c>
      <c r="D51" s="83">
        <v>-1060</v>
      </c>
      <c r="E51" s="83">
        <v>-620</v>
      </c>
      <c r="F51" s="83">
        <v>-515</v>
      </c>
      <c r="G51" s="83">
        <v>-563</v>
      </c>
      <c r="H51" s="83">
        <v>-436</v>
      </c>
      <c r="I51" s="83" t="s">
        <v>677</v>
      </c>
      <c r="J51" s="83" t="s">
        <v>677</v>
      </c>
      <c r="K51" s="83" t="s">
        <v>677</v>
      </c>
    </row>
    <row r="52" spans="1:11" x14ac:dyDescent="0.2">
      <c r="A52" s="82" t="s">
        <v>689</v>
      </c>
      <c r="B52" s="83">
        <v>587</v>
      </c>
      <c r="C52" s="83">
        <v>570</v>
      </c>
      <c r="D52" s="83">
        <v>407</v>
      </c>
      <c r="E52" s="83">
        <v>669</v>
      </c>
      <c r="F52" s="83">
        <v>767</v>
      </c>
      <c r="G52" s="83">
        <v>824</v>
      </c>
      <c r="H52" s="83" t="s">
        <v>677</v>
      </c>
      <c r="I52" s="83" t="s">
        <v>677</v>
      </c>
      <c r="J52" s="83" t="s">
        <v>677</v>
      </c>
      <c r="K52" s="83" t="s">
        <v>677</v>
      </c>
    </row>
    <row r="53" spans="1:11" x14ac:dyDescent="0.2">
      <c r="A53" s="82" t="s">
        <v>691</v>
      </c>
      <c r="B53" s="83">
        <v>419</v>
      </c>
      <c r="C53" s="83">
        <v>349</v>
      </c>
      <c r="D53" s="83">
        <v>396</v>
      </c>
      <c r="E53" s="83">
        <v>400</v>
      </c>
      <c r="F53" s="83">
        <v>641</v>
      </c>
      <c r="G53" s="83">
        <v>504</v>
      </c>
      <c r="H53" s="83" t="s">
        <v>677</v>
      </c>
      <c r="I53" s="83" t="s">
        <v>677</v>
      </c>
      <c r="J53" s="83" t="s">
        <v>677</v>
      </c>
      <c r="K53" s="83" t="s">
        <v>677</v>
      </c>
    </row>
    <row r="54" spans="1:11" x14ac:dyDescent="0.2">
      <c r="A54" s="82" t="s">
        <v>707</v>
      </c>
      <c r="B54" s="83" t="s">
        <v>677</v>
      </c>
      <c r="C54" s="83" t="s">
        <v>677</v>
      </c>
      <c r="D54" s="83" t="s">
        <v>677</v>
      </c>
      <c r="E54" s="83" t="s">
        <v>677</v>
      </c>
      <c r="F54" s="83" t="s">
        <v>677</v>
      </c>
      <c r="G54" s="83">
        <v>1840</v>
      </c>
      <c r="H54" s="83" t="s">
        <v>677</v>
      </c>
      <c r="I54" s="83" t="s">
        <v>677</v>
      </c>
      <c r="J54" s="83" t="s">
        <v>677</v>
      </c>
      <c r="K54" s="83" t="s">
        <v>677</v>
      </c>
    </row>
    <row r="55" spans="1:11" x14ac:dyDescent="0.2">
      <c r="A55" s="82" t="s">
        <v>693</v>
      </c>
      <c r="B55" s="83">
        <v>63</v>
      </c>
      <c r="C55" s="83">
        <v>55</v>
      </c>
      <c r="D55" s="83">
        <v>252</v>
      </c>
      <c r="E55" s="83">
        <v>328</v>
      </c>
      <c r="F55" s="83">
        <v>59</v>
      </c>
      <c r="G55" s="83" t="s">
        <v>677</v>
      </c>
      <c r="H55" s="83" t="s">
        <v>677</v>
      </c>
      <c r="I55" s="83" t="s">
        <v>677</v>
      </c>
      <c r="J55" s="83" t="s">
        <v>677</v>
      </c>
      <c r="K55" s="83" t="s">
        <v>677</v>
      </c>
    </row>
    <row r="56" spans="1:11" x14ac:dyDescent="0.2">
      <c r="A56" s="82" t="s">
        <v>708</v>
      </c>
      <c r="B56" s="83" t="s">
        <v>677</v>
      </c>
      <c r="C56" s="83" t="s">
        <v>677</v>
      </c>
      <c r="D56" s="83">
        <v>-58</v>
      </c>
      <c r="E56" s="83">
        <v>156</v>
      </c>
      <c r="F56" s="83">
        <v>328</v>
      </c>
      <c r="G56" s="83" t="s">
        <v>677</v>
      </c>
      <c r="H56" s="83" t="s">
        <v>677</v>
      </c>
      <c r="I56" s="83" t="s">
        <v>677</v>
      </c>
      <c r="J56" s="83" t="s">
        <v>677</v>
      </c>
      <c r="K56" s="83" t="s">
        <v>677</v>
      </c>
    </row>
    <row r="57" spans="1:11" x14ac:dyDescent="0.2">
      <c r="A57" s="82" t="s">
        <v>695</v>
      </c>
      <c r="B57" s="83">
        <v>213</v>
      </c>
      <c r="C57" s="83">
        <v>463</v>
      </c>
      <c r="D57" s="83">
        <v>169</v>
      </c>
      <c r="E57" s="83">
        <v>237</v>
      </c>
      <c r="F57" s="83" t="s">
        <v>677</v>
      </c>
      <c r="G57" s="83" t="s">
        <v>677</v>
      </c>
      <c r="H57" s="83" t="s">
        <v>677</v>
      </c>
      <c r="I57" s="83" t="s">
        <v>677</v>
      </c>
      <c r="J57" s="83" t="s">
        <v>677</v>
      </c>
      <c r="K57" s="83" t="s">
        <v>677</v>
      </c>
    </row>
    <row r="58" spans="1:11" x14ac:dyDescent="0.2">
      <c r="A58" s="82" t="s">
        <v>697</v>
      </c>
      <c r="B58" s="83">
        <v>44</v>
      </c>
      <c r="C58" s="83">
        <v>-107</v>
      </c>
      <c r="D58" s="83">
        <v>150</v>
      </c>
      <c r="E58" s="83">
        <v>-617</v>
      </c>
      <c r="F58" s="83" t="s">
        <v>677</v>
      </c>
      <c r="G58" s="83" t="s">
        <v>677</v>
      </c>
      <c r="H58" s="83" t="s">
        <v>677</v>
      </c>
      <c r="I58" s="83" t="s">
        <v>677</v>
      </c>
      <c r="J58" s="83" t="s">
        <v>677</v>
      </c>
      <c r="K58" s="83" t="s">
        <v>677</v>
      </c>
    </row>
    <row r="59" spans="1:11" x14ac:dyDescent="0.2">
      <c r="A59" s="82" t="s">
        <v>698</v>
      </c>
      <c r="B59" s="83">
        <v>175</v>
      </c>
      <c r="C59" s="83">
        <v>156</v>
      </c>
      <c r="D59" s="83" t="s">
        <v>677</v>
      </c>
      <c r="E59" s="83" t="s">
        <v>677</v>
      </c>
      <c r="F59" s="83" t="s">
        <v>677</v>
      </c>
      <c r="G59" s="83" t="s">
        <v>677</v>
      </c>
      <c r="H59" s="83" t="s">
        <v>677</v>
      </c>
      <c r="I59" s="83" t="s">
        <v>677</v>
      </c>
      <c r="J59" s="83" t="s">
        <v>677</v>
      </c>
      <c r="K59" s="83" t="s">
        <v>677</v>
      </c>
    </row>
    <row r="60" spans="1:11" x14ac:dyDescent="0.2">
      <c r="A60" s="81" t="s">
        <v>709</v>
      </c>
      <c r="B60" s="84">
        <v>1349</v>
      </c>
      <c r="C60" s="84">
        <v>1370</v>
      </c>
      <c r="D60" s="84">
        <v>256</v>
      </c>
      <c r="E60" s="84">
        <v>924</v>
      </c>
      <c r="F60" s="84">
        <v>2055</v>
      </c>
      <c r="G60" s="84">
        <v>3764</v>
      </c>
      <c r="H60" s="84">
        <v>1254</v>
      </c>
      <c r="I60" s="84">
        <v>2094</v>
      </c>
      <c r="J60" s="84">
        <v>3030</v>
      </c>
      <c r="K60" s="84">
        <v>2817</v>
      </c>
    </row>
    <row r="61" spans="1:11" x14ac:dyDescent="0.2">
      <c r="A61" s="82"/>
      <c r="B61" s="82"/>
      <c r="C61" s="82"/>
      <c r="D61" s="82"/>
      <c r="E61" s="82"/>
      <c r="F61" s="82"/>
      <c r="G61" s="82"/>
      <c r="H61" s="82"/>
      <c r="I61" s="82"/>
      <c r="J61" s="82"/>
      <c r="K61" s="82"/>
    </row>
    <row r="62" spans="1:11" s="101" customFormat="1" x14ac:dyDescent="0.2">
      <c r="A62" s="99" t="s">
        <v>710</v>
      </c>
      <c r="B62" s="100"/>
      <c r="C62" s="100"/>
      <c r="D62" s="100"/>
      <c r="E62" s="100"/>
      <c r="F62" s="100"/>
      <c r="G62" s="100"/>
      <c r="H62" s="100"/>
      <c r="I62" s="100"/>
      <c r="J62" s="100"/>
      <c r="K62" s="100"/>
    </row>
    <row r="63" spans="1:11" x14ac:dyDescent="0.2">
      <c r="A63" s="82" t="s">
        <v>676</v>
      </c>
      <c r="B63" s="83" t="s">
        <v>677</v>
      </c>
      <c r="C63" s="83" t="s">
        <v>677</v>
      </c>
      <c r="D63" s="83" t="s">
        <v>677</v>
      </c>
      <c r="E63" s="83" t="s">
        <v>677</v>
      </c>
      <c r="F63" s="83">
        <v>13660</v>
      </c>
      <c r="G63" s="83" t="s">
        <v>677</v>
      </c>
      <c r="H63" s="83">
        <v>14408</v>
      </c>
      <c r="I63" s="83">
        <v>15760</v>
      </c>
      <c r="J63" s="83">
        <v>19430</v>
      </c>
      <c r="K63" s="83">
        <v>22954</v>
      </c>
    </row>
    <row r="64" spans="1:11" x14ac:dyDescent="0.2">
      <c r="A64" s="82" t="s">
        <v>678</v>
      </c>
      <c r="B64" s="83" t="s">
        <v>677</v>
      </c>
      <c r="C64" s="83" t="s">
        <v>677</v>
      </c>
      <c r="D64" s="83" t="s">
        <v>677</v>
      </c>
      <c r="E64" s="83" t="s">
        <v>677</v>
      </c>
      <c r="F64" s="83" t="s">
        <v>677</v>
      </c>
      <c r="G64" s="83" t="s">
        <v>677</v>
      </c>
      <c r="H64" s="83" t="s">
        <v>677</v>
      </c>
      <c r="I64" s="83">
        <v>48696</v>
      </c>
      <c r="J64" s="83">
        <v>53430</v>
      </c>
      <c r="K64" s="83">
        <v>56116</v>
      </c>
    </row>
    <row r="65" spans="1:11" x14ac:dyDescent="0.2">
      <c r="A65" s="82" t="s">
        <v>680</v>
      </c>
      <c r="B65" s="83">
        <v>-2228</v>
      </c>
      <c r="C65" s="83">
        <v>-4173</v>
      </c>
      <c r="D65" s="83">
        <v>-2785</v>
      </c>
      <c r="E65" s="83">
        <v>-4190</v>
      </c>
      <c r="F65" s="83">
        <v>-1972</v>
      </c>
      <c r="G65" s="83" t="s">
        <v>677</v>
      </c>
      <c r="H65" s="83">
        <v>-1191</v>
      </c>
      <c r="I65" s="83">
        <v>-1039</v>
      </c>
      <c r="J65" s="83">
        <v>-1038</v>
      </c>
      <c r="K65" s="83">
        <v>-1071</v>
      </c>
    </row>
    <row r="66" spans="1:11" x14ac:dyDescent="0.2">
      <c r="A66" s="82" t="s">
        <v>703</v>
      </c>
      <c r="B66" s="83" t="s">
        <v>677</v>
      </c>
      <c r="C66" s="83" t="s">
        <v>677</v>
      </c>
      <c r="D66" s="83" t="s">
        <v>677</v>
      </c>
      <c r="E66" s="83">
        <v>9652</v>
      </c>
      <c r="F66" s="83">
        <v>11619</v>
      </c>
      <c r="G66" s="83" t="s">
        <v>677</v>
      </c>
      <c r="H66" s="83">
        <v>13047</v>
      </c>
      <c r="I66" s="83">
        <v>13781</v>
      </c>
      <c r="J66" s="83">
        <v>14392</v>
      </c>
      <c r="K66" s="83">
        <v>15534</v>
      </c>
    </row>
    <row r="67" spans="1:11" x14ac:dyDescent="0.2">
      <c r="A67" s="82" t="s">
        <v>706</v>
      </c>
      <c r="B67" s="83" t="s">
        <v>677</v>
      </c>
      <c r="C67" s="83" t="s">
        <v>677</v>
      </c>
      <c r="D67" s="83" t="s">
        <v>677</v>
      </c>
      <c r="E67" s="83" t="s">
        <v>677</v>
      </c>
      <c r="F67" s="83" t="s">
        <v>677</v>
      </c>
      <c r="G67" s="83" t="s">
        <v>677</v>
      </c>
      <c r="H67" s="83" t="s">
        <v>677</v>
      </c>
      <c r="I67" s="83" t="s">
        <v>677</v>
      </c>
      <c r="J67" s="83">
        <v>967</v>
      </c>
      <c r="K67" s="83">
        <v>2622</v>
      </c>
    </row>
    <row r="68" spans="1:11" x14ac:dyDescent="0.2">
      <c r="A68" s="82" t="s">
        <v>681</v>
      </c>
      <c r="B68" s="83">
        <v>734</v>
      </c>
      <c r="C68" s="83">
        <v>475</v>
      </c>
      <c r="D68" s="83">
        <v>1351</v>
      </c>
      <c r="E68" s="83">
        <v>1070</v>
      </c>
      <c r="F68" s="83">
        <v>763</v>
      </c>
      <c r="G68" s="83" t="s">
        <v>677</v>
      </c>
      <c r="H68" s="83">
        <v>1399</v>
      </c>
      <c r="I68" s="83">
        <v>1376</v>
      </c>
      <c r="J68" s="83" t="s">
        <v>677</v>
      </c>
      <c r="K68" s="83" t="s">
        <v>677</v>
      </c>
    </row>
    <row r="69" spans="1:11" x14ac:dyDescent="0.2">
      <c r="A69" s="82" t="s">
        <v>689</v>
      </c>
      <c r="B69" s="83">
        <v>16515</v>
      </c>
      <c r="C69" s="83">
        <v>17719</v>
      </c>
      <c r="D69" s="83">
        <v>17844</v>
      </c>
      <c r="E69" s="83">
        <v>19225</v>
      </c>
      <c r="F69" s="83">
        <v>20560</v>
      </c>
      <c r="G69" s="83" t="s">
        <v>677</v>
      </c>
      <c r="H69" s="83">
        <v>24058</v>
      </c>
      <c r="I69" s="83" t="s">
        <v>677</v>
      </c>
      <c r="J69" s="83" t="s">
        <v>677</v>
      </c>
      <c r="K69" s="83" t="s">
        <v>677</v>
      </c>
    </row>
    <row r="70" spans="1:11" x14ac:dyDescent="0.2">
      <c r="A70" s="82" t="s">
        <v>691</v>
      </c>
      <c r="B70" s="83">
        <v>12104</v>
      </c>
      <c r="C70" s="83">
        <v>13424</v>
      </c>
      <c r="D70" s="83">
        <v>14159</v>
      </c>
      <c r="E70" s="83">
        <v>15389</v>
      </c>
      <c r="F70" s="83">
        <v>17077</v>
      </c>
      <c r="G70" s="83" t="s">
        <v>677</v>
      </c>
      <c r="H70" s="83">
        <v>20324</v>
      </c>
      <c r="I70" s="83" t="s">
        <v>677</v>
      </c>
      <c r="J70" s="83" t="s">
        <v>677</v>
      </c>
      <c r="K70" s="83" t="s">
        <v>677</v>
      </c>
    </row>
    <row r="71" spans="1:11" x14ac:dyDescent="0.2">
      <c r="A71" s="82" t="s">
        <v>693</v>
      </c>
      <c r="B71" s="83">
        <v>1441</v>
      </c>
      <c r="C71" s="83">
        <v>3644</v>
      </c>
      <c r="D71" s="83">
        <v>2898</v>
      </c>
      <c r="E71" s="83">
        <v>2549</v>
      </c>
      <c r="F71" s="83" t="s">
        <v>677</v>
      </c>
      <c r="G71" s="83" t="s">
        <v>677</v>
      </c>
      <c r="H71" s="83" t="s">
        <v>677</v>
      </c>
      <c r="I71" s="83" t="s">
        <v>677</v>
      </c>
      <c r="J71" s="83" t="s">
        <v>677</v>
      </c>
      <c r="K71" s="83" t="s">
        <v>677</v>
      </c>
    </row>
    <row r="72" spans="1:11" x14ac:dyDescent="0.2">
      <c r="A72" s="82" t="s">
        <v>708</v>
      </c>
      <c r="B72" s="83" t="s">
        <v>677</v>
      </c>
      <c r="C72" s="83" t="s">
        <v>677</v>
      </c>
      <c r="D72" s="83">
        <v>3561</v>
      </c>
      <c r="E72" s="83">
        <v>3718</v>
      </c>
      <c r="F72" s="83">
        <v>3958</v>
      </c>
      <c r="G72" s="83" t="s">
        <v>677</v>
      </c>
      <c r="H72" s="83" t="s">
        <v>677</v>
      </c>
      <c r="I72" s="83" t="s">
        <v>677</v>
      </c>
      <c r="J72" s="83" t="s">
        <v>677</v>
      </c>
      <c r="K72" s="83" t="s">
        <v>677</v>
      </c>
    </row>
    <row r="73" spans="1:11" x14ac:dyDescent="0.2">
      <c r="A73" s="82" t="s">
        <v>695</v>
      </c>
      <c r="B73" s="83">
        <v>3783</v>
      </c>
      <c r="C73" s="83">
        <v>7542</v>
      </c>
      <c r="D73" s="83">
        <v>8554</v>
      </c>
      <c r="E73" s="83">
        <v>9165</v>
      </c>
      <c r="F73" s="83" t="s">
        <v>677</v>
      </c>
      <c r="G73" s="83" t="s">
        <v>677</v>
      </c>
      <c r="H73" s="83" t="s">
        <v>677</v>
      </c>
      <c r="I73" s="83" t="s">
        <v>677</v>
      </c>
      <c r="J73" s="83" t="s">
        <v>677</v>
      </c>
      <c r="K73" s="83" t="s">
        <v>677</v>
      </c>
    </row>
    <row r="74" spans="1:11" x14ac:dyDescent="0.2">
      <c r="A74" s="82" t="s">
        <v>697</v>
      </c>
      <c r="B74" s="83">
        <v>5566</v>
      </c>
      <c r="C74" s="83">
        <v>5564</v>
      </c>
      <c r="D74" s="83">
        <v>4872</v>
      </c>
      <c r="E74" s="83">
        <v>4060</v>
      </c>
      <c r="F74" s="83" t="s">
        <v>677</v>
      </c>
      <c r="G74" s="83" t="s">
        <v>677</v>
      </c>
      <c r="H74" s="83" t="s">
        <v>677</v>
      </c>
      <c r="I74" s="83" t="s">
        <v>677</v>
      </c>
      <c r="J74" s="83" t="s">
        <v>677</v>
      </c>
      <c r="K74" s="83" t="s">
        <v>677</v>
      </c>
    </row>
    <row r="75" spans="1:11" x14ac:dyDescent="0.2">
      <c r="A75" s="82" t="s">
        <v>698</v>
      </c>
      <c r="B75" s="83">
        <v>3235</v>
      </c>
      <c r="C75" s="83">
        <v>3591</v>
      </c>
      <c r="D75" s="83" t="s">
        <v>677</v>
      </c>
      <c r="E75" s="83" t="s">
        <v>677</v>
      </c>
      <c r="F75" s="83" t="s">
        <v>677</v>
      </c>
      <c r="G75" s="83" t="s">
        <v>677</v>
      </c>
      <c r="H75" s="83" t="s">
        <v>677</v>
      </c>
      <c r="I75" s="83" t="s">
        <v>677</v>
      </c>
      <c r="J75" s="83" t="s">
        <v>677</v>
      </c>
      <c r="K75" s="83" t="s">
        <v>677</v>
      </c>
    </row>
    <row r="76" spans="1:11" x14ac:dyDescent="0.2">
      <c r="A76" s="81" t="s">
        <v>711</v>
      </c>
      <c r="B76" s="84">
        <v>41150</v>
      </c>
      <c r="C76" s="84">
        <v>47786</v>
      </c>
      <c r="D76" s="84">
        <v>50454</v>
      </c>
      <c r="E76" s="84">
        <v>60638</v>
      </c>
      <c r="F76" s="84">
        <v>65665</v>
      </c>
      <c r="G76" s="84" t="s">
        <v>677</v>
      </c>
      <c r="H76" s="84">
        <v>72045</v>
      </c>
      <c r="I76" s="84">
        <v>78574</v>
      </c>
      <c r="J76" s="84">
        <v>87181</v>
      </c>
      <c r="K76" s="84">
        <v>96155</v>
      </c>
    </row>
    <row r="77" spans="1:11" x14ac:dyDescent="0.2">
      <c r="A77" s="82"/>
      <c r="B77" s="82"/>
      <c r="C77" s="82"/>
      <c r="D77" s="82"/>
      <c r="E77" s="82"/>
      <c r="F77" s="82"/>
      <c r="G77" s="82"/>
      <c r="H77" s="82"/>
      <c r="I77" s="82"/>
      <c r="J77" s="82"/>
      <c r="K77" s="82"/>
    </row>
    <row r="78" spans="1:11" s="104" customFormat="1" x14ac:dyDescent="0.2">
      <c r="A78" s="102" t="s">
        <v>712</v>
      </c>
      <c r="B78" s="103"/>
      <c r="C78" s="103"/>
      <c r="D78" s="103"/>
      <c r="E78" s="103"/>
      <c r="F78" s="103"/>
      <c r="G78" s="103"/>
      <c r="H78" s="103"/>
      <c r="I78" s="103"/>
      <c r="J78" s="103"/>
      <c r="K78" s="103"/>
    </row>
    <row r="79" spans="1:11" x14ac:dyDescent="0.2">
      <c r="A79" s="82" t="s">
        <v>676</v>
      </c>
      <c r="B79" s="83" t="s">
        <v>677</v>
      </c>
      <c r="C79" s="83" t="s">
        <v>677</v>
      </c>
      <c r="D79" s="83" t="s">
        <v>677</v>
      </c>
      <c r="E79" s="83" t="s">
        <v>677</v>
      </c>
      <c r="F79" s="83">
        <v>193</v>
      </c>
      <c r="G79" s="83">
        <v>198</v>
      </c>
      <c r="H79" s="83">
        <v>239</v>
      </c>
      <c r="I79" s="83">
        <v>268</v>
      </c>
      <c r="J79" s="83">
        <v>281</v>
      </c>
      <c r="K79" s="83">
        <v>297</v>
      </c>
    </row>
    <row r="80" spans="1:11" x14ac:dyDescent="0.2">
      <c r="A80" s="82" t="s">
        <v>678</v>
      </c>
      <c r="B80" s="83" t="s">
        <v>677</v>
      </c>
      <c r="C80" s="83" t="s">
        <v>677</v>
      </c>
      <c r="D80" s="83" t="s">
        <v>677</v>
      </c>
      <c r="E80" s="83" t="s">
        <v>677</v>
      </c>
      <c r="F80" s="83" t="s">
        <v>677</v>
      </c>
      <c r="G80" s="83" t="s">
        <v>677</v>
      </c>
      <c r="H80" s="83">
        <v>1605</v>
      </c>
      <c r="I80" s="83">
        <v>1743</v>
      </c>
      <c r="J80" s="83">
        <v>1937</v>
      </c>
      <c r="K80" s="83">
        <v>2133</v>
      </c>
    </row>
    <row r="81" spans="1:11" x14ac:dyDescent="0.2">
      <c r="A81" s="82" t="s">
        <v>681</v>
      </c>
      <c r="B81" s="83">
        <v>10</v>
      </c>
      <c r="C81" s="83">
        <v>11</v>
      </c>
      <c r="D81" s="83">
        <v>15</v>
      </c>
      <c r="E81" s="83">
        <v>19</v>
      </c>
      <c r="F81" s="83">
        <v>14</v>
      </c>
      <c r="G81" s="83">
        <v>13</v>
      </c>
      <c r="H81" s="83">
        <v>11</v>
      </c>
      <c r="I81" s="83" t="s">
        <v>677</v>
      </c>
      <c r="J81" s="83" t="s">
        <v>677</v>
      </c>
      <c r="K81" s="83" t="s">
        <v>677</v>
      </c>
    </row>
    <row r="82" spans="1:11" x14ac:dyDescent="0.2">
      <c r="A82" s="82" t="s">
        <v>689</v>
      </c>
      <c r="B82" s="83">
        <v>604</v>
      </c>
      <c r="C82" s="83">
        <v>646</v>
      </c>
      <c r="D82" s="83">
        <v>670</v>
      </c>
      <c r="E82" s="83">
        <v>688</v>
      </c>
      <c r="F82" s="83">
        <v>760</v>
      </c>
      <c r="G82" s="83">
        <v>801</v>
      </c>
      <c r="H82" s="83" t="s">
        <v>677</v>
      </c>
      <c r="I82" s="83" t="s">
        <v>677</v>
      </c>
      <c r="J82" s="83" t="s">
        <v>677</v>
      </c>
      <c r="K82" s="83" t="s">
        <v>677</v>
      </c>
    </row>
    <row r="83" spans="1:11" x14ac:dyDescent="0.2">
      <c r="A83" s="82" t="s">
        <v>691</v>
      </c>
      <c r="B83" s="83">
        <v>461</v>
      </c>
      <c r="C83" s="83">
        <v>476</v>
      </c>
      <c r="D83" s="83">
        <v>515</v>
      </c>
      <c r="E83" s="83">
        <v>556</v>
      </c>
      <c r="F83" s="83">
        <v>602</v>
      </c>
      <c r="G83" s="83">
        <v>654</v>
      </c>
      <c r="H83" s="83" t="s">
        <v>677</v>
      </c>
      <c r="I83" s="83" t="s">
        <v>677</v>
      </c>
      <c r="J83" s="83" t="s">
        <v>677</v>
      </c>
      <c r="K83" s="83" t="s">
        <v>677</v>
      </c>
    </row>
    <row r="84" spans="1:11" x14ac:dyDescent="0.2">
      <c r="A84" s="82" t="s">
        <v>693</v>
      </c>
      <c r="B84" s="83">
        <v>6</v>
      </c>
      <c r="C84" s="83">
        <v>6</v>
      </c>
      <c r="D84" s="83">
        <v>38</v>
      </c>
      <c r="E84" s="83">
        <v>27</v>
      </c>
      <c r="F84" s="83" t="s">
        <v>677</v>
      </c>
      <c r="G84" s="83" t="s">
        <v>677</v>
      </c>
      <c r="H84" s="83" t="s">
        <v>677</v>
      </c>
      <c r="I84" s="83" t="s">
        <v>677</v>
      </c>
      <c r="J84" s="83" t="s">
        <v>677</v>
      </c>
      <c r="K84" s="83" t="s">
        <v>677</v>
      </c>
    </row>
    <row r="85" spans="1:11" x14ac:dyDescent="0.2">
      <c r="A85" s="82" t="s">
        <v>695</v>
      </c>
      <c r="B85" s="83">
        <v>70</v>
      </c>
      <c r="C85" s="83">
        <v>77</v>
      </c>
      <c r="D85" s="83">
        <v>156</v>
      </c>
      <c r="E85" s="83">
        <v>175</v>
      </c>
      <c r="F85" s="83" t="s">
        <v>677</v>
      </c>
      <c r="G85" s="83" t="s">
        <v>677</v>
      </c>
      <c r="H85" s="83" t="s">
        <v>677</v>
      </c>
      <c r="I85" s="83" t="s">
        <v>677</v>
      </c>
      <c r="J85" s="83" t="s">
        <v>677</v>
      </c>
      <c r="K85" s="83" t="s">
        <v>677</v>
      </c>
    </row>
    <row r="86" spans="1:11" x14ac:dyDescent="0.2">
      <c r="A86" s="82" t="s">
        <v>697</v>
      </c>
      <c r="B86" s="83">
        <v>49</v>
      </c>
      <c r="C86" s="83">
        <v>47</v>
      </c>
      <c r="D86" s="83">
        <v>42</v>
      </c>
      <c r="E86" s="83">
        <v>26</v>
      </c>
      <c r="F86" s="83" t="s">
        <v>677</v>
      </c>
      <c r="G86" s="83" t="s">
        <v>677</v>
      </c>
      <c r="H86" s="83" t="s">
        <v>677</v>
      </c>
      <c r="I86" s="83" t="s">
        <v>677</v>
      </c>
      <c r="J86" s="83" t="s">
        <v>677</v>
      </c>
      <c r="K86" s="83" t="s">
        <v>677</v>
      </c>
    </row>
    <row r="87" spans="1:11" x14ac:dyDescent="0.2">
      <c r="A87" s="82" t="s">
        <v>698</v>
      </c>
      <c r="B87" s="83">
        <v>50</v>
      </c>
      <c r="C87" s="83">
        <v>49</v>
      </c>
      <c r="D87" s="83" t="s">
        <v>677</v>
      </c>
      <c r="E87" s="83" t="s">
        <v>677</v>
      </c>
      <c r="F87" s="83" t="s">
        <v>677</v>
      </c>
      <c r="G87" s="83" t="s">
        <v>677</v>
      </c>
      <c r="H87" s="83" t="s">
        <v>677</v>
      </c>
      <c r="I87" s="83" t="s">
        <v>677</v>
      </c>
      <c r="J87" s="83" t="s">
        <v>677</v>
      </c>
      <c r="K87" s="83" t="s">
        <v>677</v>
      </c>
    </row>
    <row r="88" spans="1:11" x14ac:dyDescent="0.2">
      <c r="A88" s="81" t="s">
        <v>713</v>
      </c>
      <c r="B88" s="84">
        <v>1250</v>
      </c>
      <c r="C88" s="84">
        <v>1312</v>
      </c>
      <c r="D88" s="84">
        <v>1436</v>
      </c>
      <c r="E88" s="84">
        <v>1491</v>
      </c>
      <c r="F88" s="84">
        <v>1569</v>
      </c>
      <c r="G88" s="84">
        <v>1666</v>
      </c>
      <c r="H88" s="84">
        <v>1855</v>
      </c>
      <c r="I88" s="84">
        <v>2011</v>
      </c>
      <c r="J88" s="84">
        <v>2218</v>
      </c>
      <c r="K88" s="84">
        <v>2430</v>
      </c>
    </row>
    <row r="89" spans="1:11" x14ac:dyDescent="0.2">
      <c r="A89" s="82"/>
      <c r="B89" s="82"/>
      <c r="C89" s="82"/>
      <c r="D89" s="82"/>
      <c r="E89" s="82"/>
      <c r="F89" s="82"/>
      <c r="G89" s="82"/>
      <c r="H89" s="82"/>
      <c r="I89" s="82"/>
      <c r="J89" s="82"/>
      <c r="K89" s="82"/>
    </row>
    <row r="90" spans="1:11" s="107" customFormat="1" x14ac:dyDescent="0.2">
      <c r="A90" s="105" t="s">
        <v>714</v>
      </c>
      <c r="B90" s="106"/>
      <c r="C90" s="106"/>
      <c r="D90" s="106"/>
      <c r="E90" s="106"/>
      <c r="F90" s="106"/>
      <c r="G90" s="106"/>
      <c r="H90" s="106"/>
      <c r="I90" s="106"/>
      <c r="J90" s="106"/>
      <c r="K90" s="106"/>
    </row>
    <row r="91" spans="1:11" x14ac:dyDescent="0.2">
      <c r="A91" s="82" t="s">
        <v>676</v>
      </c>
      <c r="B91" s="83" t="s">
        <v>677</v>
      </c>
      <c r="C91" s="83" t="s">
        <v>677</v>
      </c>
      <c r="D91" s="83" t="s">
        <v>677</v>
      </c>
      <c r="E91" s="83" t="s">
        <v>677</v>
      </c>
      <c r="F91" s="83">
        <v>-736</v>
      </c>
      <c r="G91" s="83">
        <v>-879</v>
      </c>
      <c r="H91" s="83">
        <v>-802</v>
      </c>
      <c r="I91" s="83">
        <v>-884</v>
      </c>
      <c r="J91" s="83">
        <v>-3832</v>
      </c>
      <c r="K91" s="83">
        <v>-3459</v>
      </c>
    </row>
    <row r="92" spans="1:11" x14ac:dyDescent="0.2">
      <c r="A92" s="82" t="s">
        <v>678</v>
      </c>
      <c r="B92" s="83" t="s">
        <v>677</v>
      </c>
      <c r="C92" s="83" t="s">
        <v>677</v>
      </c>
      <c r="D92" s="83" t="s">
        <v>677</v>
      </c>
      <c r="E92" s="83" t="s">
        <v>677</v>
      </c>
      <c r="F92" s="83" t="s">
        <v>677</v>
      </c>
      <c r="G92" s="83" t="s">
        <v>677</v>
      </c>
      <c r="H92" s="83">
        <v>-4204</v>
      </c>
      <c r="I92" s="83">
        <v>-4466</v>
      </c>
      <c r="J92" s="83">
        <v>-4560</v>
      </c>
      <c r="K92" s="83">
        <v>-4753</v>
      </c>
    </row>
    <row r="93" spans="1:11" x14ac:dyDescent="0.2">
      <c r="A93" s="82" t="s">
        <v>706</v>
      </c>
      <c r="B93" s="83" t="s">
        <v>677</v>
      </c>
      <c r="C93" s="83" t="s">
        <v>677</v>
      </c>
      <c r="D93" s="83" t="s">
        <v>677</v>
      </c>
      <c r="E93" s="83" t="s">
        <v>677</v>
      </c>
      <c r="F93" s="83" t="s">
        <v>677</v>
      </c>
      <c r="G93" s="83" t="s">
        <v>677</v>
      </c>
      <c r="H93" s="83" t="s">
        <v>677</v>
      </c>
      <c r="I93" s="83">
        <v>-7</v>
      </c>
      <c r="J93" s="83">
        <v>-5</v>
      </c>
      <c r="K93" s="83">
        <v>-3</v>
      </c>
    </row>
    <row r="94" spans="1:11" x14ac:dyDescent="0.2">
      <c r="A94" s="82" t="s">
        <v>681</v>
      </c>
      <c r="B94" s="83">
        <v>-47</v>
      </c>
      <c r="C94" s="83">
        <v>-20</v>
      </c>
      <c r="D94" s="83">
        <v>-18</v>
      </c>
      <c r="E94" s="83">
        <v>-14</v>
      </c>
      <c r="F94" s="83">
        <v>-9</v>
      </c>
      <c r="G94" s="83">
        <v>-12</v>
      </c>
      <c r="H94" s="83">
        <v>-9</v>
      </c>
      <c r="I94" s="83" t="s">
        <v>677</v>
      </c>
      <c r="J94" s="83" t="s">
        <v>677</v>
      </c>
      <c r="K94" s="83" t="s">
        <v>677</v>
      </c>
    </row>
    <row r="95" spans="1:11" x14ac:dyDescent="0.2">
      <c r="A95" s="82" t="s">
        <v>689</v>
      </c>
      <c r="B95" s="83">
        <v>-1133</v>
      </c>
      <c r="C95" s="83">
        <v>-1399</v>
      </c>
      <c r="D95" s="83">
        <v>-1555</v>
      </c>
      <c r="E95" s="83">
        <v>-1542</v>
      </c>
      <c r="F95" s="83">
        <v>-1522</v>
      </c>
      <c r="G95" s="83">
        <v>-1942</v>
      </c>
      <c r="H95" s="83" t="s">
        <v>677</v>
      </c>
      <c r="I95" s="83" t="s">
        <v>677</v>
      </c>
      <c r="J95" s="83" t="s">
        <v>677</v>
      </c>
      <c r="K95" s="83" t="s">
        <v>677</v>
      </c>
    </row>
    <row r="96" spans="1:11" x14ac:dyDescent="0.2">
      <c r="A96" s="82" t="s">
        <v>691</v>
      </c>
      <c r="B96" s="83">
        <v>-1352</v>
      </c>
      <c r="C96" s="83">
        <v>-1319</v>
      </c>
      <c r="D96" s="83">
        <v>-1367</v>
      </c>
      <c r="E96" s="83">
        <v>-1538</v>
      </c>
      <c r="F96" s="83">
        <v>-1439</v>
      </c>
      <c r="G96" s="83">
        <v>-1843</v>
      </c>
      <c r="H96" s="83" t="s">
        <v>677</v>
      </c>
      <c r="I96" s="83" t="s">
        <v>677</v>
      </c>
      <c r="J96" s="83" t="s">
        <v>677</v>
      </c>
      <c r="K96" s="83" t="s">
        <v>677</v>
      </c>
    </row>
    <row r="97" spans="1:255" x14ac:dyDescent="0.2">
      <c r="A97" s="82" t="s">
        <v>693</v>
      </c>
      <c r="B97" s="83">
        <v>-105</v>
      </c>
      <c r="C97" s="83">
        <v>-835</v>
      </c>
      <c r="D97" s="83">
        <v>-497</v>
      </c>
      <c r="E97" s="83">
        <v>-51</v>
      </c>
      <c r="F97" s="83">
        <v>-2</v>
      </c>
      <c r="G97" s="83" t="s">
        <v>677</v>
      </c>
      <c r="H97" s="83" t="s">
        <v>677</v>
      </c>
      <c r="I97" s="83" t="s">
        <v>677</v>
      </c>
      <c r="J97" s="83" t="s">
        <v>677</v>
      </c>
      <c r="K97" s="83" t="s">
        <v>677</v>
      </c>
    </row>
    <row r="98" spans="1:255" x14ac:dyDescent="0.2">
      <c r="A98" s="82" t="s">
        <v>695</v>
      </c>
      <c r="B98" s="83">
        <v>-302</v>
      </c>
      <c r="C98" s="83">
        <v>-330</v>
      </c>
      <c r="D98" s="83">
        <v>-248</v>
      </c>
      <c r="E98" s="83">
        <v>-368</v>
      </c>
      <c r="F98" s="83" t="s">
        <v>677</v>
      </c>
      <c r="G98" s="83" t="s">
        <v>677</v>
      </c>
      <c r="H98" s="83" t="s">
        <v>677</v>
      </c>
      <c r="I98" s="83" t="s">
        <v>677</v>
      </c>
      <c r="J98" s="83" t="s">
        <v>677</v>
      </c>
      <c r="K98" s="83" t="s">
        <v>677</v>
      </c>
    </row>
    <row r="99" spans="1:255" x14ac:dyDescent="0.2">
      <c r="A99" s="82" t="s">
        <v>697</v>
      </c>
      <c r="B99" s="83">
        <v>-87</v>
      </c>
      <c r="C99" s="83">
        <v>-117</v>
      </c>
      <c r="D99" s="83">
        <v>-20</v>
      </c>
      <c r="E99" s="83">
        <v>-31</v>
      </c>
      <c r="F99" s="83" t="s">
        <v>677</v>
      </c>
      <c r="G99" s="83" t="s">
        <v>677</v>
      </c>
      <c r="H99" s="83" t="s">
        <v>677</v>
      </c>
      <c r="I99" s="83" t="s">
        <v>677</v>
      </c>
      <c r="J99" s="83" t="s">
        <v>677</v>
      </c>
      <c r="K99" s="83" t="s">
        <v>677</v>
      </c>
    </row>
    <row r="100" spans="1:255" x14ac:dyDescent="0.2">
      <c r="A100" s="82" t="s">
        <v>698</v>
      </c>
      <c r="B100" s="83">
        <v>-154</v>
      </c>
      <c r="C100" s="83">
        <v>-194</v>
      </c>
      <c r="D100" s="83" t="s">
        <v>677</v>
      </c>
      <c r="E100" s="83" t="s">
        <v>677</v>
      </c>
      <c r="F100" s="83" t="s">
        <v>677</v>
      </c>
      <c r="G100" s="83" t="s">
        <v>677</v>
      </c>
      <c r="H100" s="83" t="s">
        <v>677</v>
      </c>
      <c r="I100" s="83" t="s">
        <v>677</v>
      </c>
      <c r="J100" s="83" t="s">
        <v>677</v>
      </c>
      <c r="K100" s="83" t="s">
        <v>677</v>
      </c>
    </row>
    <row r="101" spans="1:255" x14ac:dyDescent="0.2">
      <c r="A101" s="81" t="s">
        <v>715</v>
      </c>
      <c r="B101" s="84">
        <v>-3180</v>
      </c>
      <c r="C101" s="84">
        <v>-4214</v>
      </c>
      <c r="D101" s="84">
        <v>-3705</v>
      </c>
      <c r="E101" s="84">
        <v>-3544</v>
      </c>
      <c r="F101" s="84">
        <v>-3708</v>
      </c>
      <c r="G101" s="84">
        <v>-4676</v>
      </c>
      <c r="H101" s="84">
        <v>-5015</v>
      </c>
      <c r="I101" s="84">
        <v>-5357</v>
      </c>
      <c r="J101" s="84">
        <v>-8397</v>
      </c>
      <c r="K101" s="84">
        <v>-8215</v>
      </c>
    </row>
    <row r="102" spans="1:255" x14ac:dyDescent="0.2">
      <c r="A102" s="82"/>
      <c r="B102" s="82"/>
      <c r="C102" s="82"/>
      <c r="D102" s="82"/>
      <c r="E102" s="82"/>
      <c r="F102" s="82"/>
      <c r="G102" s="82"/>
      <c r="H102" s="82"/>
      <c r="I102" s="82"/>
      <c r="J102" s="82"/>
      <c r="K102" s="82"/>
    </row>
    <row r="103" spans="1:255" x14ac:dyDescent="0.2">
      <c r="A103" s="82"/>
      <c r="B103" s="82" t="s">
        <v>190</v>
      </c>
      <c r="C103" s="82" t="s">
        <v>190</v>
      </c>
      <c r="D103" s="82" t="s">
        <v>190</v>
      </c>
      <c r="E103" s="82" t="s">
        <v>190</v>
      </c>
      <c r="F103" s="82" t="s">
        <v>190</v>
      </c>
      <c r="G103" s="82" t="s">
        <v>190</v>
      </c>
      <c r="H103" s="82" t="s">
        <v>190</v>
      </c>
      <c r="I103" s="82" t="s">
        <v>190</v>
      </c>
      <c r="J103" s="82" t="s">
        <v>190</v>
      </c>
      <c r="K103" s="82" t="s">
        <v>190</v>
      </c>
    </row>
    <row r="104" spans="1:255" x14ac:dyDescent="0.2">
      <c r="A104" s="82" t="s">
        <v>716</v>
      </c>
      <c r="B104" s="85">
        <v>43158</v>
      </c>
      <c r="C104" s="85">
        <v>43522</v>
      </c>
      <c r="D104" s="85">
        <v>43888</v>
      </c>
      <c r="E104" s="85">
        <v>44252</v>
      </c>
      <c r="F104" s="85">
        <v>44617</v>
      </c>
      <c r="G104" s="85">
        <v>44985</v>
      </c>
      <c r="H104" s="85">
        <v>45349</v>
      </c>
      <c r="I104" s="85">
        <v>45713</v>
      </c>
      <c r="J104" s="85">
        <v>45713</v>
      </c>
      <c r="K104" s="85">
        <v>45713</v>
      </c>
    </row>
    <row r="105" spans="1:255" x14ac:dyDescent="0.2">
      <c r="A105" s="86"/>
      <c r="B105" s="86"/>
      <c r="C105" s="86"/>
      <c r="D105" s="86"/>
      <c r="E105" s="86"/>
      <c r="F105" s="86"/>
      <c r="G105" s="86"/>
      <c r="H105" s="86"/>
      <c r="I105" s="86"/>
      <c r="J105" s="86"/>
      <c r="K105" s="86"/>
    </row>
    <row r="106" spans="1:255" x14ac:dyDescent="0.2">
      <c r="A106" s="74"/>
      <c r="B106" s="74"/>
      <c r="C106" s="74"/>
      <c r="D106" s="74"/>
      <c r="E106" s="74"/>
      <c r="F106" s="74"/>
      <c r="G106" s="74"/>
      <c r="H106" s="74"/>
      <c r="I106" s="74"/>
      <c r="J106" s="74"/>
      <c r="K106" s="74"/>
    </row>
    <row r="107" spans="1:255" s="72" customFormat="1" x14ac:dyDescent="0.2">
      <c r="A107" s="76" t="s">
        <v>717</v>
      </c>
      <c r="B107" s="76"/>
      <c r="C107" s="76"/>
      <c r="D107" s="76"/>
      <c r="E107" s="76"/>
      <c r="F107" s="76"/>
      <c r="G107" s="76"/>
      <c r="H107" s="76"/>
      <c r="I107" s="76"/>
      <c r="J107" s="76"/>
      <c r="K107" s="76"/>
      <c r="L107" s="71"/>
      <c r="M107" s="71"/>
      <c r="N107" s="71"/>
      <c r="O107" s="71"/>
      <c r="P107" s="71"/>
      <c r="Q107" s="71"/>
      <c r="R107" s="71"/>
      <c r="S107" s="71"/>
      <c r="T107" s="71"/>
      <c r="U107" s="71"/>
      <c r="V107" s="71"/>
      <c r="W107" s="71"/>
      <c r="X107" s="71"/>
      <c r="Y107" s="71"/>
      <c r="Z107" s="71"/>
      <c r="AA107" s="71"/>
      <c r="AB107" s="71"/>
      <c r="AC107" s="71"/>
      <c r="AD107" s="71"/>
      <c r="AE107" s="71"/>
      <c r="AF107" s="71"/>
      <c r="AG107" s="71"/>
      <c r="AH107" s="71"/>
      <c r="AI107" s="71"/>
      <c r="AJ107" s="71"/>
      <c r="AK107" s="71"/>
      <c r="AL107" s="71"/>
      <c r="AM107" s="71"/>
      <c r="AN107" s="71"/>
      <c r="AO107" s="71"/>
      <c r="AP107" s="71"/>
      <c r="AQ107" s="71"/>
      <c r="AR107" s="71"/>
      <c r="AS107" s="71"/>
      <c r="AT107" s="71"/>
      <c r="AU107" s="71"/>
      <c r="AV107" s="71"/>
      <c r="AW107" s="71"/>
      <c r="AX107" s="71"/>
      <c r="AY107" s="71"/>
      <c r="AZ107" s="71"/>
      <c r="BA107" s="71"/>
      <c r="BB107" s="71"/>
      <c r="BC107" s="71"/>
      <c r="BD107" s="71"/>
      <c r="BE107" s="71"/>
      <c r="BF107" s="71"/>
      <c r="BG107" s="71"/>
      <c r="BH107" s="71"/>
      <c r="BI107" s="71"/>
      <c r="BJ107" s="71"/>
      <c r="BK107" s="71"/>
      <c r="BL107" s="71"/>
      <c r="BM107" s="71"/>
      <c r="BN107" s="71"/>
      <c r="BO107" s="71"/>
      <c r="BP107" s="71"/>
      <c r="BQ107" s="71"/>
      <c r="BR107" s="71"/>
      <c r="BS107" s="71"/>
      <c r="BT107" s="71"/>
      <c r="BU107" s="71"/>
      <c r="BV107" s="71"/>
      <c r="BW107" s="71"/>
      <c r="BX107" s="71"/>
      <c r="BY107" s="71"/>
      <c r="BZ107" s="71"/>
      <c r="CA107" s="71"/>
      <c r="CB107" s="71"/>
      <c r="CC107" s="71"/>
      <c r="CD107" s="71"/>
      <c r="CE107" s="71"/>
      <c r="CF107" s="71"/>
      <c r="CG107" s="71"/>
      <c r="CH107" s="71"/>
      <c r="CI107" s="71"/>
      <c r="CJ107" s="71"/>
      <c r="CK107" s="71"/>
      <c r="CL107" s="71"/>
      <c r="CM107" s="71"/>
      <c r="CN107" s="71"/>
      <c r="CO107" s="71"/>
      <c r="CP107" s="71"/>
      <c r="CQ107" s="71"/>
      <c r="CR107" s="71"/>
      <c r="CS107" s="71"/>
      <c r="CT107" s="71"/>
      <c r="CU107" s="71"/>
      <c r="CV107" s="71"/>
      <c r="CW107" s="71"/>
      <c r="CX107" s="71"/>
      <c r="CY107" s="71"/>
      <c r="CZ107" s="71"/>
      <c r="DA107" s="71"/>
      <c r="DB107" s="71"/>
      <c r="DC107" s="71"/>
      <c r="DD107" s="71"/>
      <c r="DE107" s="71"/>
      <c r="DF107" s="71"/>
      <c r="DG107" s="71"/>
      <c r="DH107" s="71"/>
      <c r="DI107" s="71"/>
      <c r="DJ107" s="71"/>
      <c r="DK107" s="71"/>
      <c r="DL107" s="71"/>
      <c r="DM107" s="71"/>
      <c r="DN107" s="71"/>
      <c r="DO107" s="71"/>
      <c r="DP107" s="71"/>
      <c r="DQ107" s="71"/>
      <c r="DR107" s="71"/>
      <c r="DS107" s="71"/>
      <c r="DT107" s="71"/>
      <c r="DU107" s="71"/>
      <c r="DV107" s="71"/>
      <c r="DW107" s="71"/>
      <c r="DX107" s="71"/>
      <c r="DY107" s="71"/>
      <c r="DZ107" s="71"/>
      <c r="EA107" s="71"/>
      <c r="EB107" s="71"/>
      <c r="EC107" s="71"/>
      <c r="ED107" s="71"/>
      <c r="EE107" s="71"/>
      <c r="EF107" s="71"/>
      <c r="EG107" s="71"/>
      <c r="EH107" s="71"/>
      <c r="EI107" s="71"/>
      <c r="EJ107" s="71"/>
      <c r="EK107" s="71"/>
      <c r="EL107" s="71"/>
      <c r="EM107" s="71"/>
      <c r="EN107" s="71"/>
      <c r="EO107" s="71"/>
      <c r="EP107" s="71"/>
      <c r="EQ107" s="71"/>
      <c r="ER107" s="71"/>
      <c r="ES107" s="71"/>
      <c r="ET107" s="71"/>
      <c r="EU107" s="71"/>
      <c r="EV107" s="71"/>
      <c r="EW107" s="71"/>
      <c r="EX107" s="71"/>
      <c r="EY107" s="71"/>
      <c r="EZ107" s="71"/>
      <c r="FA107" s="71"/>
      <c r="FB107" s="71"/>
      <c r="FC107" s="71"/>
      <c r="FD107" s="71"/>
      <c r="FE107" s="71"/>
      <c r="FF107" s="71"/>
      <c r="FG107" s="71"/>
      <c r="FH107" s="71"/>
      <c r="FI107" s="71"/>
      <c r="FJ107" s="71"/>
      <c r="FK107" s="71"/>
      <c r="FL107" s="71"/>
      <c r="FM107" s="71"/>
      <c r="FN107" s="71"/>
      <c r="FO107" s="71"/>
      <c r="FP107" s="71"/>
      <c r="FQ107" s="71"/>
      <c r="FR107" s="71"/>
      <c r="FS107" s="71"/>
      <c r="FT107" s="71"/>
      <c r="FU107" s="71"/>
      <c r="FV107" s="71"/>
      <c r="FW107" s="71"/>
      <c r="FX107" s="71"/>
      <c r="FY107" s="71"/>
      <c r="FZ107" s="71"/>
      <c r="GA107" s="71"/>
      <c r="GB107" s="71"/>
      <c r="GC107" s="71"/>
      <c r="GD107" s="71"/>
      <c r="GE107" s="71"/>
      <c r="GF107" s="71"/>
      <c r="GG107" s="71"/>
      <c r="GH107" s="71"/>
      <c r="GI107" s="71"/>
      <c r="GJ107" s="71"/>
      <c r="GK107" s="71"/>
      <c r="GL107" s="71"/>
      <c r="GM107" s="71"/>
      <c r="GN107" s="71"/>
      <c r="GO107" s="71"/>
      <c r="GP107" s="71"/>
      <c r="GQ107" s="71"/>
      <c r="GR107" s="71"/>
      <c r="GS107" s="71"/>
      <c r="GT107" s="71"/>
      <c r="GU107" s="71"/>
      <c r="GV107" s="71"/>
      <c r="GW107" s="71"/>
      <c r="GX107" s="71"/>
      <c r="GY107" s="71"/>
      <c r="GZ107" s="71"/>
      <c r="HA107" s="71"/>
      <c r="HB107" s="71"/>
      <c r="HC107" s="71"/>
      <c r="HD107" s="71"/>
      <c r="HE107" s="71"/>
      <c r="HF107" s="71"/>
      <c r="HG107" s="71"/>
      <c r="HH107" s="71"/>
      <c r="HI107" s="71"/>
      <c r="HJ107" s="71"/>
      <c r="HK107" s="71"/>
      <c r="HL107" s="71"/>
      <c r="HM107" s="71"/>
      <c r="HN107" s="71"/>
      <c r="HO107" s="71"/>
      <c r="HP107" s="71"/>
      <c r="HQ107" s="71"/>
      <c r="HR107" s="71"/>
      <c r="HS107" s="71"/>
      <c r="HT107" s="71"/>
      <c r="HU107" s="71"/>
      <c r="HV107" s="71"/>
      <c r="HW107" s="71"/>
      <c r="HX107" s="71"/>
      <c r="HY107" s="71"/>
      <c r="HZ107" s="71"/>
      <c r="IA107" s="71"/>
      <c r="IB107" s="71"/>
      <c r="IC107" s="71"/>
      <c r="ID107" s="71"/>
      <c r="IE107" s="71"/>
      <c r="IF107" s="71"/>
      <c r="IG107" s="71"/>
      <c r="IH107" s="71"/>
      <c r="II107" s="71"/>
      <c r="IJ107" s="71"/>
      <c r="IK107" s="71"/>
      <c r="IL107" s="71"/>
      <c r="IM107" s="71"/>
      <c r="IN107" s="71"/>
      <c r="IO107" s="71"/>
      <c r="IP107" s="71"/>
      <c r="IQ107" s="71"/>
      <c r="IR107" s="71"/>
      <c r="IS107" s="71"/>
      <c r="IT107" s="71"/>
      <c r="IU107" s="71"/>
    </row>
    <row r="108" spans="1:255" s="72" customFormat="1" ht="30.6" x14ac:dyDescent="0.2">
      <c r="A108" s="77" t="s">
        <v>664</v>
      </c>
      <c r="B108" s="78" t="s">
        <v>665</v>
      </c>
      <c r="C108" s="78" t="s">
        <v>666</v>
      </c>
      <c r="D108" s="78" t="s">
        <v>667</v>
      </c>
      <c r="E108" s="78" t="s">
        <v>668</v>
      </c>
      <c r="F108" s="78" t="s">
        <v>669</v>
      </c>
      <c r="G108" s="78" t="s">
        <v>670</v>
      </c>
      <c r="H108" s="78" t="s">
        <v>671</v>
      </c>
      <c r="I108" s="78" t="s">
        <v>672</v>
      </c>
      <c r="J108" s="78" t="s">
        <v>673</v>
      </c>
      <c r="K108" s="78" t="s">
        <v>674</v>
      </c>
    </row>
    <row r="109" spans="1:255" s="72" customFormat="1" x14ac:dyDescent="0.2">
      <c r="A109" s="79" t="s">
        <v>377</v>
      </c>
      <c r="B109" s="80" t="s">
        <v>378</v>
      </c>
      <c r="C109" s="80" t="s">
        <v>378</v>
      </c>
      <c r="D109" s="80" t="s">
        <v>378</v>
      </c>
      <c r="E109" s="80" t="s">
        <v>378</v>
      </c>
      <c r="F109" s="80" t="s">
        <v>378</v>
      </c>
      <c r="G109" s="80" t="s">
        <v>378</v>
      </c>
      <c r="H109" s="80" t="s">
        <v>378</v>
      </c>
      <c r="I109" s="80" t="s">
        <v>378</v>
      </c>
      <c r="J109" s="80" t="s">
        <v>378</v>
      </c>
      <c r="K109" s="80" t="s">
        <v>378</v>
      </c>
    </row>
    <row r="110" spans="1:255" x14ac:dyDescent="0.2">
      <c r="A110" s="81" t="s">
        <v>675</v>
      </c>
      <c r="B110" s="82"/>
      <c r="C110" s="82"/>
      <c r="D110" s="82"/>
      <c r="E110" s="82"/>
      <c r="F110" s="82"/>
      <c r="G110" s="82"/>
      <c r="H110" s="82"/>
      <c r="I110" s="82"/>
      <c r="J110" s="82"/>
      <c r="K110" s="82"/>
    </row>
    <row r="111" spans="1:255" x14ac:dyDescent="0.2">
      <c r="A111" s="82" t="s">
        <v>718</v>
      </c>
      <c r="B111" s="83">
        <v>8119</v>
      </c>
      <c r="C111" s="83">
        <v>8004</v>
      </c>
      <c r="D111" s="83">
        <v>8547</v>
      </c>
      <c r="E111" s="83">
        <v>8840</v>
      </c>
      <c r="F111" s="83">
        <v>9574</v>
      </c>
      <c r="G111" s="83">
        <v>10205</v>
      </c>
      <c r="H111" s="83">
        <v>11154</v>
      </c>
      <c r="I111" s="83">
        <v>13015</v>
      </c>
      <c r="J111" s="83">
        <v>14973</v>
      </c>
      <c r="K111" s="83">
        <v>11623</v>
      </c>
    </row>
    <row r="112" spans="1:255" x14ac:dyDescent="0.2">
      <c r="A112" s="82" t="s">
        <v>719</v>
      </c>
      <c r="B112" s="83">
        <v>568</v>
      </c>
      <c r="C112" s="83">
        <v>623</v>
      </c>
      <c r="D112" s="83">
        <v>1093</v>
      </c>
      <c r="E112" s="83">
        <v>1262</v>
      </c>
      <c r="F112" s="83">
        <v>1255</v>
      </c>
      <c r="G112" s="83">
        <v>1165</v>
      </c>
      <c r="H112" s="83">
        <v>1703</v>
      </c>
      <c r="I112" s="83">
        <v>1424</v>
      </c>
      <c r="J112" s="83">
        <v>1747</v>
      </c>
      <c r="K112" s="83">
        <v>1562</v>
      </c>
    </row>
    <row r="113" spans="1:11" x14ac:dyDescent="0.2">
      <c r="A113" s="82" t="s">
        <v>720</v>
      </c>
      <c r="B113" s="83">
        <v>1544</v>
      </c>
      <c r="C113" s="83">
        <v>1556</v>
      </c>
      <c r="D113" s="83" t="s">
        <v>677</v>
      </c>
      <c r="E113" s="83" t="s">
        <v>677</v>
      </c>
      <c r="F113" s="83" t="s">
        <v>677</v>
      </c>
      <c r="G113" s="83" t="s">
        <v>677</v>
      </c>
      <c r="H113" s="83" t="s">
        <v>677</v>
      </c>
      <c r="I113" s="83" t="s">
        <v>677</v>
      </c>
      <c r="J113" s="83" t="s">
        <v>677</v>
      </c>
      <c r="K113" s="83" t="s">
        <v>677</v>
      </c>
    </row>
    <row r="114" spans="1:11" x14ac:dyDescent="0.2">
      <c r="A114" s="81" t="s">
        <v>699</v>
      </c>
      <c r="B114" s="84">
        <v>10231</v>
      </c>
      <c r="C114" s="84">
        <v>10183</v>
      </c>
      <c r="D114" s="84">
        <v>9640</v>
      </c>
      <c r="E114" s="84">
        <v>10102</v>
      </c>
      <c r="F114" s="84">
        <v>10829</v>
      </c>
      <c r="G114" s="84">
        <v>11370</v>
      </c>
      <c r="H114" s="84">
        <v>12857</v>
      </c>
      <c r="I114" s="84">
        <v>14439</v>
      </c>
      <c r="J114" s="84">
        <v>16720</v>
      </c>
      <c r="K114" s="84">
        <v>13185</v>
      </c>
    </row>
    <row r="115" spans="1:11" x14ac:dyDescent="0.2">
      <c r="A115" s="82"/>
      <c r="B115" s="82"/>
      <c r="C115" s="82"/>
      <c r="D115" s="82"/>
      <c r="E115" s="82"/>
      <c r="F115" s="82"/>
      <c r="G115" s="82"/>
      <c r="H115" s="82"/>
      <c r="I115" s="82"/>
      <c r="J115" s="82"/>
      <c r="K115" s="82"/>
    </row>
    <row r="116" spans="1:11" x14ac:dyDescent="0.2">
      <c r="A116" s="81" t="s">
        <v>710</v>
      </c>
      <c r="B116" s="82"/>
      <c r="C116" s="82"/>
      <c r="D116" s="82"/>
      <c r="E116" s="82"/>
      <c r="F116" s="82"/>
      <c r="G116" s="82"/>
      <c r="H116" s="82"/>
      <c r="I116" s="82"/>
      <c r="J116" s="82"/>
      <c r="K116" s="82"/>
    </row>
    <row r="117" spans="1:11" x14ac:dyDescent="0.2">
      <c r="A117" s="82" t="s">
        <v>718</v>
      </c>
      <c r="B117" s="83">
        <v>26132</v>
      </c>
      <c r="C117" s="83">
        <v>28351</v>
      </c>
      <c r="D117" s="83">
        <v>31487</v>
      </c>
      <c r="E117" s="83">
        <v>40611</v>
      </c>
      <c r="F117" s="83">
        <v>43719</v>
      </c>
      <c r="G117" s="83">
        <v>46902</v>
      </c>
      <c r="H117" s="83">
        <v>50657</v>
      </c>
      <c r="I117" s="83">
        <v>55035</v>
      </c>
      <c r="J117" s="83">
        <v>46935</v>
      </c>
      <c r="K117" s="83">
        <v>52952</v>
      </c>
    </row>
    <row r="118" spans="1:11" x14ac:dyDescent="0.2">
      <c r="A118" s="82" t="s">
        <v>719</v>
      </c>
      <c r="B118" s="83">
        <v>3160</v>
      </c>
      <c r="C118" s="83">
        <v>4814</v>
      </c>
      <c r="D118" s="83">
        <v>5363</v>
      </c>
      <c r="E118" s="83">
        <v>5800</v>
      </c>
      <c r="F118" s="83">
        <v>6355</v>
      </c>
      <c r="G118" s="83">
        <v>6929</v>
      </c>
      <c r="H118" s="83">
        <v>7708</v>
      </c>
      <c r="I118" s="83">
        <v>8423</v>
      </c>
      <c r="J118" s="83">
        <v>8024</v>
      </c>
      <c r="K118" s="83">
        <v>8485</v>
      </c>
    </row>
    <row r="119" spans="1:11" x14ac:dyDescent="0.2">
      <c r="A119" s="82" t="s">
        <v>721</v>
      </c>
      <c r="B119" s="83" t="s">
        <v>677</v>
      </c>
      <c r="C119" s="83" t="s">
        <v>677</v>
      </c>
      <c r="D119" s="83" t="s">
        <v>677</v>
      </c>
      <c r="E119" s="83" t="s">
        <v>677</v>
      </c>
      <c r="F119" s="83" t="s">
        <v>677</v>
      </c>
      <c r="G119" s="83" t="s">
        <v>677</v>
      </c>
      <c r="H119" s="83" t="s">
        <v>677</v>
      </c>
      <c r="I119" s="83" t="s">
        <v>677</v>
      </c>
      <c r="J119" s="83">
        <v>1</v>
      </c>
      <c r="K119" s="83" t="s">
        <v>677</v>
      </c>
    </row>
    <row r="120" spans="1:11" x14ac:dyDescent="0.2">
      <c r="A120" s="82" t="s">
        <v>722</v>
      </c>
      <c r="B120" s="83" t="s">
        <v>677</v>
      </c>
      <c r="C120" s="83" t="s">
        <v>677</v>
      </c>
      <c r="D120" s="83" t="s">
        <v>677</v>
      </c>
      <c r="E120" s="83" t="s">
        <v>677</v>
      </c>
      <c r="F120" s="83" t="s">
        <v>677</v>
      </c>
      <c r="G120" s="83" t="s">
        <v>677</v>
      </c>
      <c r="H120" s="83">
        <v>1</v>
      </c>
      <c r="I120" s="83">
        <v>1</v>
      </c>
      <c r="J120" s="83" t="s">
        <v>677</v>
      </c>
      <c r="K120" s="83" t="s">
        <v>677</v>
      </c>
    </row>
    <row r="121" spans="1:11" x14ac:dyDescent="0.2">
      <c r="A121" s="82" t="s">
        <v>720</v>
      </c>
      <c r="B121" s="83">
        <v>1652</v>
      </c>
      <c r="C121" s="83">
        <v>1863</v>
      </c>
      <c r="D121" s="83" t="s">
        <v>677</v>
      </c>
      <c r="E121" s="83" t="s">
        <v>677</v>
      </c>
      <c r="F121" s="83" t="s">
        <v>677</v>
      </c>
      <c r="G121" s="83" t="s">
        <v>677</v>
      </c>
      <c r="H121" s="83" t="s">
        <v>677</v>
      </c>
      <c r="I121" s="83" t="s">
        <v>677</v>
      </c>
      <c r="J121" s="83" t="s">
        <v>677</v>
      </c>
      <c r="K121" s="83" t="s">
        <v>677</v>
      </c>
    </row>
    <row r="122" spans="1:11" x14ac:dyDescent="0.2">
      <c r="A122" s="81" t="s">
        <v>711</v>
      </c>
      <c r="B122" s="84">
        <v>30944</v>
      </c>
      <c r="C122" s="84">
        <v>35028</v>
      </c>
      <c r="D122" s="84">
        <v>36850</v>
      </c>
      <c r="E122" s="84">
        <v>46411</v>
      </c>
      <c r="F122" s="84">
        <v>50074</v>
      </c>
      <c r="G122" s="84">
        <v>53831</v>
      </c>
      <c r="H122" s="84">
        <v>58366</v>
      </c>
      <c r="I122" s="84">
        <v>63459</v>
      </c>
      <c r="J122" s="84">
        <v>54960</v>
      </c>
      <c r="K122" s="84">
        <v>61437</v>
      </c>
    </row>
    <row r="123" spans="1:11" x14ac:dyDescent="0.2">
      <c r="A123" s="82"/>
      <c r="B123" s="82"/>
      <c r="C123" s="82"/>
      <c r="D123" s="82"/>
      <c r="E123" s="82"/>
      <c r="F123" s="82"/>
      <c r="G123" s="82"/>
      <c r="H123" s="82"/>
      <c r="I123" s="82"/>
      <c r="J123" s="82"/>
      <c r="K123" s="82"/>
    </row>
    <row r="124" spans="1:11" x14ac:dyDescent="0.2">
      <c r="A124" s="82"/>
      <c r="B124" s="82" t="s">
        <v>190</v>
      </c>
      <c r="C124" s="82" t="s">
        <v>190</v>
      </c>
      <c r="D124" s="82" t="s">
        <v>190</v>
      </c>
      <c r="E124" s="82" t="s">
        <v>190</v>
      </c>
      <c r="F124" s="82" t="s">
        <v>190</v>
      </c>
      <c r="G124" s="82" t="s">
        <v>190</v>
      </c>
      <c r="H124" s="82" t="s">
        <v>190</v>
      </c>
      <c r="I124" s="82" t="s">
        <v>190</v>
      </c>
      <c r="J124" s="82" t="s">
        <v>190</v>
      </c>
      <c r="K124" s="82" t="s">
        <v>190</v>
      </c>
    </row>
    <row r="125" spans="1:11" x14ac:dyDescent="0.2">
      <c r="A125" s="82" t="s">
        <v>716</v>
      </c>
      <c r="B125" s="85">
        <v>43158</v>
      </c>
      <c r="C125" s="85">
        <v>43522</v>
      </c>
      <c r="D125" s="85">
        <v>43888</v>
      </c>
      <c r="E125" s="85">
        <v>44252</v>
      </c>
      <c r="F125" s="85">
        <v>44617</v>
      </c>
      <c r="G125" s="85">
        <v>44985</v>
      </c>
      <c r="H125" s="85">
        <v>45349</v>
      </c>
      <c r="I125" s="85">
        <v>45713</v>
      </c>
      <c r="J125" s="85">
        <v>45713</v>
      </c>
      <c r="K125" s="85">
        <v>45713</v>
      </c>
    </row>
    <row r="126" spans="1:11" x14ac:dyDescent="0.2">
      <c r="A126" s="70"/>
      <c r="B126" s="70"/>
      <c r="C126" s="70"/>
      <c r="D126" s="70"/>
      <c r="E126" s="70"/>
      <c r="F126" s="70"/>
      <c r="G126" s="70"/>
      <c r="H126" s="70"/>
      <c r="I126" s="70"/>
      <c r="J126" s="70"/>
      <c r="K126" s="70"/>
    </row>
    <row r="127" spans="1:11" x14ac:dyDescent="0.2">
      <c r="A127" s="69" t="s">
        <v>723</v>
      </c>
    </row>
  </sheetData>
  <pageMargins left="0.2" right="0.2" top="0.5" bottom="0.5" header="0.5" footer="0.5"/>
  <pageSetup fitToWidth="0" fitToHeight="0" orientation="landscape" horizontalDpi="0" verticalDpi="0"/>
  <headerFooter alignWithMargins="0"/>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F45017-C1F4-2F44-9334-026478207A93}">
  <dimension ref="A1:W36"/>
  <sheetViews>
    <sheetView topLeftCell="A5" zoomScale="125" workbookViewId="0">
      <selection activeCell="D28" sqref="D28"/>
    </sheetView>
  </sheetViews>
  <sheetFormatPr defaultColWidth="10.88671875" defaultRowHeight="15.6" x14ac:dyDescent="0.3"/>
  <cols>
    <col min="1" max="1" width="10.88671875" style="110"/>
    <col min="2" max="2" width="11.6640625" style="110" bestFit="1" customWidth="1"/>
    <col min="3" max="7" width="15.109375" style="110" bestFit="1" customWidth="1"/>
    <col min="8" max="8" width="13.33203125" style="110" bestFit="1" customWidth="1"/>
    <col min="9" max="9" width="14.33203125" style="110" bestFit="1" customWidth="1"/>
    <col min="10" max="10" width="12.6640625" style="110" bestFit="1" customWidth="1"/>
    <col min="11" max="13" width="13.109375" style="110" bestFit="1" customWidth="1"/>
    <col min="14" max="16" width="10.88671875" style="110"/>
    <col min="17" max="17" width="13.88671875" style="110" customWidth="1"/>
    <col min="18" max="18" width="14.109375" style="110" bestFit="1" customWidth="1"/>
    <col min="19" max="16384" width="10.88671875" style="110"/>
  </cols>
  <sheetData>
    <row r="1" spans="1:23" x14ac:dyDescent="0.3">
      <c r="A1" s="108" t="s">
        <v>241</v>
      </c>
      <c r="B1" s="108"/>
      <c r="C1" s="109" t="s">
        <v>724</v>
      </c>
      <c r="D1" s="109" t="s">
        <v>725</v>
      </c>
      <c r="E1" s="109" t="s">
        <v>726</v>
      </c>
      <c r="F1" s="109" t="s">
        <v>727</v>
      </c>
      <c r="G1" s="109" t="s">
        <v>349</v>
      </c>
      <c r="H1" s="109" t="s">
        <v>728</v>
      </c>
      <c r="I1" s="109" t="s">
        <v>321</v>
      </c>
      <c r="J1" s="109">
        <v>2026</v>
      </c>
      <c r="K1" s="109">
        <v>2027</v>
      </c>
      <c r="L1" s="109">
        <v>2028</v>
      </c>
      <c r="M1" s="109">
        <v>2029</v>
      </c>
      <c r="N1" s="109">
        <v>2030</v>
      </c>
    </row>
    <row r="3" spans="1:23" x14ac:dyDescent="0.3">
      <c r="A3" s="110" t="s">
        <v>729</v>
      </c>
      <c r="C3" s="111"/>
      <c r="D3" s="111"/>
      <c r="E3" s="111"/>
      <c r="F3" s="111"/>
      <c r="G3" s="111"/>
      <c r="R3" s="112"/>
      <c r="S3" s="112"/>
      <c r="T3" s="112"/>
      <c r="U3" s="112"/>
      <c r="V3" s="112"/>
    </row>
    <row r="4" spans="1:23" x14ac:dyDescent="0.3">
      <c r="A4" s="113" t="s">
        <v>252</v>
      </c>
      <c r="C4" s="111">
        <f>'[1]Income Statement'!B20</f>
        <v>11370000</v>
      </c>
      <c r="D4" s="111">
        <f>'[1]Income Statement'!C20</f>
        <v>12857000</v>
      </c>
      <c r="E4" s="111">
        <f>'[1]Income Statement'!D20</f>
        <v>14439000</v>
      </c>
      <c r="F4" s="111">
        <f>'[1]Income Statement'!E20</f>
        <v>16720000</v>
      </c>
      <c r="G4" s="111">
        <f>'[1]Income Statement'!F20</f>
        <v>13185000</v>
      </c>
      <c r="H4" s="114">
        <f>(G4/C4)^(1/4)-1</f>
        <v>3.7719355756907103E-2</v>
      </c>
      <c r="I4" s="112">
        <v>13702000</v>
      </c>
      <c r="J4" s="115"/>
      <c r="K4" s="115"/>
      <c r="L4" s="115"/>
      <c r="M4" s="115"/>
      <c r="R4" s="112"/>
    </row>
    <row r="5" spans="1:23" x14ac:dyDescent="0.3">
      <c r="A5" s="113" t="s">
        <v>730</v>
      </c>
      <c r="C5" s="111">
        <f>'[1]Segment Analysis'!B28+'[1]Segment Analysis'!B29</f>
        <v>10061000</v>
      </c>
      <c r="D5" s="111">
        <f>'[1]Segment Analysis'!C22</f>
        <v>10926000</v>
      </c>
      <c r="E5" s="111">
        <f>'[1]Segment Analysis'!D22</f>
        <v>12577000</v>
      </c>
      <c r="F5" s="111">
        <f>'[1]Segment Analysis'!E22</f>
        <v>13761000</v>
      </c>
      <c r="G5" s="111">
        <f>'[1]Segment Analysis'!F22</f>
        <v>11382000</v>
      </c>
      <c r="H5" s="114">
        <f t="shared" ref="H5:H17" si="0">(G5/C5)^(1/4)-1</f>
        <v>3.1322180281659007E-2</v>
      </c>
      <c r="I5" s="404">
        <f>7319000+4552000</f>
        <v>11871000</v>
      </c>
    </row>
    <row r="6" spans="1:23" x14ac:dyDescent="0.3">
      <c r="A6" s="113" t="s">
        <v>731</v>
      </c>
      <c r="C6" s="111" cm="1">
        <f t="array" ref="C6:G6">'[1]Segment Analysis'!B21:F21</f>
        <v>1400000</v>
      </c>
      <c r="D6" s="111">
        <v>1997000</v>
      </c>
      <c r="E6" s="111">
        <v>1919000</v>
      </c>
      <c r="F6" s="111">
        <v>3071000</v>
      </c>
      <c r="G6" s="111">
        <v>1882000</v>
      </c>
      <c r="H6" s="114">
        <f t="shared" si="0"/>
        <v>7.6769872878875711E-2</v>
      </c>
      <c r="I6" s="404">
        <v>1831000</v>
      </c>
      <c r="R6" s="116"/>
    </row>
    <row r="7" spans="1:23" x14ac:dyDescent="0.3">
      <c r="A7" s="113" t="s">
        <v>732</v>
      </c>
      <c r="C7" s="111">
        <f>C4-C6</f>
        <v>9970000</v>
      </c>
      <c r="D7" s="111">
        <f t="shared" ref="D7:G7" si="1">D4-D6</f>
        <v>10860000</v>
      </c>
      <c r="E7" s="111">
        <f t="shared" si="1"/>
        <v>12520000</v>
      </c>
      <c r="F7" s="111">
        <f t="shared" si="1"/>
        <v>13649000</v>
      </c>
      <c r="G7" s="111">
        <f t="shared" si="1"/>
        <v>11303000</v>
      </c>
      <c r="H7" s="114">
        <f t="shared" si="0"/>
        <v>3.1869182941252516E-2</v>
      </c>
      <c r="I7" s="404">
        <f>I5-I6</f>
        <v>10040000</v>
      </c>
      <c r="P7" s="117"/>
      <c r="R7" s="118"/>
    </row>
    <row r="8" spans="1:23" x14ac:dyDescent="0.3">
      <c r="A8" s="113" t="s">
        <v>733</v>
      </c>
      <c r="C8" s="143">
        <f>(C7/C4)</f>
        <v>0.87686895338610382</v>
      </c>
      <c r="D8" s="143">
        <f>(D7/D4)</f>
        <v>0.84467605195613282</v>
      </c>
      <c r="E8" s="143">
        <f>(E7/E4)</f>
        <v>0.86709605928388389</v>
      </c>
      <c r="F8" s="143">
        <f>(F7/F4)</f>
        <v>0.81632775119617229</v>
      </c>
      <c r="G8" s="143">
        <f>(G7/G4)</f>
        <v>0.85726204019719376</v>
      </c>
      <c r="H8" s="114"/>
      <c r="I8" s="143">
        <f>(I7/I5)</f>
        <v>0.84575857130823018</v>
      </c>
      <c r="J8" s="112"/>
      <c r="K8" s="112"/>
      <c r="L8" s="112"/>
      <c r="M8" s="112"/>
    </row>
    <row r="9" spans="1:23" x14ac:dyDescent="0.3">
      <c r="A9" s="119" t="s">
        <v>254</v>
      </c>
      <c r="H9" s="114"/>
      <c r="I9" s="118"/>
      <c r="J9" s="118"/>
      <c r="K9" s="118"/>
      <c r="L9" s="118"/>
      <c r="M9" s="118"/>
      <c r="R9" s="118"/>
      <c r="S9" s="118"/>
      <c r="T9" s="118"/>
      <c r="U9" s="118"/>
      <c r="V9" s="118"/>
      <c r="W9" s="118"/>
    </row>
    <row r="10" spans="1:23" x14ac:dyDescent="0.3">
      <c r="B10" s="65"/>
      <c r="H10" s="114"/>
      <c r="J10" s="110">
        <f>G6/G4</f>
        <v>0.14273795980280621</v>
      </c>
    </row>
    <row r="11" spans="1:23" x14ac:dyDescent="0.3">
      <c r="A11" s="65" t="s">
        <v>256</v>
      </c>
      <c r="C11" s="111">
        <f>'[1]Income Statement'!B22</f>
        <v>6872000</v>
      </c>
      <c r="D11" s="111">
        <f>'[1]Income Statement'!C22</f>
        <v>8155000</v>
      </c>
      <c r="E11" s="111">
        <f>'[1]Income Statement'!D22</f>
        <v>9863000</v>
      </c>
      <c r="F11" s="111">
        <f>'[1]Income Statement'!E22</f>
        <v>10777000</v>
      </c>
      <c r="G11" s="111">
        <f>'[1]Income Statement'!F22</f>
        <v>7786000</v>
      </c>
      <c r="H11" s="114">
        <f t="shared" si="0"/>
        <v>3.1710408876267415E-2</v>
      </c>
      <c r="I11" s="115"/>
      <c r="J11" s="115"/>
      <c r="K11" s="115"/>
      <c r="L11" s="115"/>
      <c r="M11" s="115"/>
    </row>
    <row r="12" spans="1:23" x14ac:dyDescent="0.3">
      <c r="A12" s="120" t="s">
        <v>258</v>
      </c>
      <c r="C12" s="111"/>
      <c r="D12" s="111"/>
      <c r="E12" s="111"/>
      <c r="F12" s="111"/>
      <c r="G12" s="111"/>
      <c r="H12" s="114"/>
      <c r="I12" s="121"/>
      <c r="J12" s="121"/>
      <c r="K12" s="121"/>
      <c r="L12" s="121"/>
      <c r="M12" s="121"/>
    </row>
    <row r="13" spans="1:23" x14ac:dyDescent="0.3">
      <c r="A13" s="65" t="s">
        <v>734</v>
      </c>
      <c r="C13" s="118"/>
      <c r="D13" s="118"/>
      <c r="E13" s="118"/>
      <c r="F13" s="118"/>
      <c r="G13" s="118"/>
      <c r="H13" s="114"/>
    </row>
    <row r="14" spans="1:23" x14ac:dyDescent="0.3">
      <c r="A14" s="65" t="s">
        <v>261</v>
      </c>
      <c r="C14" s="111"/>
      <c r="D14" s="111"/>
      <c r="E14" s="111"/>
      <c r="F14" s="111"/>
      <c r="G14" s="111"/>
      <c r="H14" s="114"/>
      <c r="I14" s="115"/>
      <c r="J14" s="115"/>
      <c r="K14" s="115"/>
      <c r="L14" s="115"/>
      <c r="M14" s="115"/>
    </row>
    <row r="15" spans="1:23" x14ac:dyDescent="0.3">
      <c r="A15" s="120" t="s">
        <v>262</v>
      </c>
      <c r="C15" s="111">
        <f>C24+C21</f>
        <v>4598000</v>
      </c>
      <c r="D15" s="111">
        <f t="shared" ref="D15:G17" si="2">D24+D21</f>
        <v>2010000</v>
      </c>
      <c r="E15" s="111">
        <f t="shared" si="2"/>
        <v>3923000</v>
      </c>
      <c r="F15" s="111">
        <f t="shared" si="2"/>
        <v>4979000</v>
      </c>
      <c r="G15" s="111">
        <f t="shared" si="2"/>
        <v>4662000</v>
      </c>
      <c r="H15" s="114">
        <f t="shared" si="0"/>
        <v>3.4617566552315182E-3</v>
      </c>
      <c r="I15" s="112"/>
      <c r="J15" s="112"/>
      <c r="K15" s="112"/>
      <c r="L15" s="112"/>
      <c r="M15" s="112"/>
    </row>
    <row r="16" spans="1:23" x14ac:dyDescent="0.3">
      <c r="A16" s="113" t="s">
        <v>735</v>
      </c>
      <c r="C16" s="111">
        <f>C25+C22</f>
        <v>3091000</v>
      </c>
      <c r="D16" s="111">
        <f t="shared" si="2"/>
        <v>1946000</v>
      </c>
      <c r="E16" s="111">
        <f t="shared" si="2"/>
        <v>3666000</v>
      </c>
      <c r="F16" s="111">
        <f t="shared" si="2"/>
        <v>3565000</v>
      </c>
      <c r="G16" s="111">
        <f t="shared" si="2"/>
        <v>4096000</v>
      </c>
      <c r="H16" s="114">
        <f t="shared" si="0"/>
        <v>7.2914799133456221E-2</v>
      </c>
    </row>
    <row r="17" spans="1:13" x14ac:dyDescent="0.3">
      <c r="A17" s="113" t="s">
        <v>736</v>
      </c>
      <c r="C17" s="111">
        <f>C26+C23</f>
        <v>753000</v>
      </c>
      <c r="D17" s="111">
        <f t="shared" si="2"/>
        <v>954000</v>
      </c>
      <c r="E17" s="111">
        <f t="shared" si="2"/>
        <v>723000</v>
      </c>
      <c r="F17" s="111">
        <f t="shared" si="2"/>
        <v>1702000</v>
      </c>
      <c r="G17" s="111">
        <f t="shared" si="2"/>
        <v>1287000</v>
      </c>
      <c r="H17" s="114">
        <f t="shared" si="0"/>
        <v>0.143393957262822</v>
      </c>
      <c r="I17" s="112"/>
      <c r="J17" s="112"/>
      <c r="K17" s="112"/>
      <c r="L17" s="112"/>
      <c r="M17" s="112"/>
    </row>
    <row r="18" spans="1:13" x14ac:dyDescent="0.3">
      <c r="A18" s="113"/>
      <c r="C18" s="111"/>
      <c r="D18" s="111"/>
      <c r="E18" s="111"/>
      <c r="F18" s="111"/>
      <c r="G18" s="111"/>
      <c r="H18" s="114"/>
      <c r="I18" s="112"/>
      <c r="J18" s="112"/>
      <c r="K18" s="112"/>
      <c r="L18" s="112"/>
      <c r="M18" s="112"/>
    </row>
    <row r="19" spans="1:13" x14ac:dyDescent="0.3">
      <c r="A19" s="119" t="s">
        <v>264</v>
      </c>
      <c r="C19" s="121"/>
      <c r="D19" s="121"/>
      <c r="E19" s="121"/>
      <c r="F19" s="121"/>
      <c r="G19" s="121"/>
      <c r="H19" s="114"/>
    </row>
    <row r="20" spans="1:13" x14ac:dyDescent="0.3">
      <c r="A20" s="65" t="s">
        <v>737</v>
      </c>
      <c r="C20" s="144">
        <f>C21-C23</f>
        <v>1468000</v>
      </c>
      <c r="D20" s="144">
        <f t="shared" ref="D20:G20" si="3">D21-D23</f>
        <v>1616000</v>
      </c>
      <c r="E20" s="144">
        <f t="shared" si="3"/>
        <v>1743000</v>
      </c>
      <c r="F20" s="144">
        <f t="shared" si="3"/>
        <v>1937000</v>
      </c>
      <c r="G20" s="144">
        <f t="shared" si="3"/>
        <v>2133000</v>
      </c>
      <c r="H20" s="114"/>
      <c r="I20" s="122"/>
      <c r="J20" s="122"/>
      <c r="K20" s="122"/>
      <c r="L20" s="122"/>
      <c r="M20" s="122"/>
    </row>
    <row r="21" spans="1:13" x14ac:dyDescent="0.3">
      <c r="A21" s="65" t="s">
        <v>266</v>
      </c>
      <c r="C21" s="111" cm="1">
        <f t="array" ref="C21:G21">'[1]Segment Analysis'!B102:F102</f>
        <v>1666000</v>
      </c>
      <c r="D21" s="111">
        <v>1855000</v>
      </c>
      <c r="E21" s="111">
        <v>2011000</v>
      </c>
      <c r="F21" s="111">
        <v>2218000</v>
      </c>
      <c r="G21" s="111">
        <v>2430000</v>
      </c>
      <c r="H21" s="114">
        <f t="shared" ref="H21:H34" si="4">(G21/C21)^(1/4)-1</f>
        <v>9.8962363170011836E-2</v>
      </c>
    </row>
    <row r="22" spans="1:13" x14ac:dyDescent="0.3">
      <c r="A22" s="65" t="s">
        <v>738</v>
      </c>
      <c r="C22" s="111">
        <f>'[1]Segment Analysis'!B97+'[1]Segment Analysis'!B98+'[1]Segment Analysis'!B99</f>
        <v>1468000</v>
      </c>
      <c r="D22" s="111">
        <f>'[1]Segment Analysis'!C92+'[1]Segment Analysis'!C97</f>
        <v>1616000</v>
      </c>
      <c r="E22" s="111">
        <f>'[1]Segment Analysis'!D92</f>
        <v>1743000</v>
      </c>
      <c r="F22" s="111">
        <f>'[1]Segment Analysis'!E92</f>
        <v>1937000</v>
      </c>
      <c r="G22" s="111">
        <f>'[1]Segment Analysis'!F92</f>
        <v>2133000</v>
      </c>
      <c r="H22" s="114">
        <f t="shared" si="4"/>
        <v>9.7908632893742631E-2</v>
      </c>
    </row>
    <row r="23" spans="1:13" x14ac:dyDescent="0.3">
      <c r="A23" s="65" t="s">
        <v>739</v>
      </c>
      <c r="C23" s="111">
        <f>'[1]Segment Analysis'!B91</f>
        <v>198000</v>
      </c>
      <c r="D23" s="111">
        <f>'[1]Segment Analysis'!C91</f>
        <v>239000</v>
      </c>
      <c r="E23" s="111">
        <f>'[1]Segment Analysis'!D91</f>
        <v>268000</v>
      </c>
      <c r="F23" s="111">
        <f>'[1]Segment Analysis'!E91</f>
        <v>281000</v>
      </c>
      <c r="G23" s="111">
        <f>'[1]Segment Analysis'!F91</f>
        <v>297000</v>
      </c>
      <c r="H23" s="114">
        <f t="shared" si="4"/>
        <v>0.1066819197003217</v>
      </c>
      <c r="I23" s="115">
        <f>G23*(1+H23)</f>
        <v>328684.53015099553</v>
      </c>
      <c r="J23" s="115"/>
      <c r="K23" s="115"/>
      <c r="L23" s="115"/>
      <c r="M23" s="115"/>
    </row>
    <row r="24" spans="1:13" x14ac:dyDescent="0.3">
      <c r="A24" s="65" t="s">
        <v>328</v>
      </c>
      <c r="C24" s="111">
        <f>'[1]Segment Analysis'!B74+'[1]Segment Analysis'!B60+'[1]Segment Analysis'!B46</f>
        <v>2932000</v>
      </c>
      <c r="D24" s="111">
        <f>'[1]Segment Analysis'!C74+'[1]Segment Analysis'!C60+'[1]Segment Analysis'!C46</f>
        <v>155000</v>
      </c>
      <c r="E24" s="111">
        <f>'[1]Segment Analysis'!D74+'[1]Segment Analysis'!D60+'[1]Segment Analysis'!D46</f>
        <v>1912000</v>
      </c>
      <c r="F24" s="111">
        <f>'[1]Segment Analysis'!E74+'[1]Segment Analysis'!E60+'[1]Segment Analysis'!E46</f>
        <v>2761000</v>
      </c>
      <c r="G24" s="111">
        <f>'[1]Segment Analysis'!F74+'[1]Segment Analysis'!F60+'[1]Segment Analysis'!F46</f>
        <v>2232000</v>
      </c>
      <c r="H24" s="114">
        <f t="shared" si="4"/>
        <v>-6.5923263258776066E-2</v>
      </c>
      <c r="I24" s="112"/>
      <c r="J24" s="112"/>
      <c r="K24" s="112"/>
      <c r="L24" s="112"/>
      <c r="M24" s="112"/>
    </row>
    <row r="25" spans="1:13" x14ac:dyDescent="0.3">
      <c r="A25" s="120" t="s">
        <v>740</v>
      </c>
      <c r="C25" s="112">
        <f>'[1]Segment Analysis'!B42+'[1]Segment Analysis'!B43+'[1]Segment Analysis'!B53+'[1]Segment Analysis'!B57+'[1]Segment Analysis'!B56+'[1]Segment Analysis'!B67+'[1]Segment Analysis'!B71+'[1]Segment Analysis'!B70</f>
        <v>1623000</v>
      </c>
      <c r="D25" s="111">
        <f>'[1]Segment Analysis'!C36+'[1]Segment Analysis'!C50+'[1]Segment Analysis'!C64+'[1]Segment Analysis'!C67</f>
        <v>330000</v>
      </c>
      <c r="E25" s="111">
        <f>'[1]Segment Analysis'!D36+'[1]Segment Analysis'!D50+'[1]Segment Analysis'!D64+'[1]Segment Analysis'!D67</f>
        <v>1923000</v>
      </c>
      <c r="F25" s="111">
        <f>'[1]Segment Analysis'!E36+'[1]Segment Analysis'!E50+'[1]Segment Analysis'!E64+'[1]Segment Analysis'!E67</f>
        <v>1628000</v>
      </c>
      <c r="G25" s="111">
        <f>'[1]Segment Analysis'!F36+'[1]Segment Analysis'!F50+'[1]Segment Analysis'!F64+'[1]Segment Analysis'!F67</f>
        <v>1963000</v>
      </c>
      <c r="H25" s="114">
        <f t="shared" si="4"/>
        <v>4.8698012539458713E-2</v>
      </c>
    </row>
    <row r="26" spans="1:13" x14ac:dyDescent="0.3">
      <c r="A26" s="119" t="s">
        <v>741</v>
      </c>
      <c r="C26" s="111">
        <f>'[1]Segment Analysis'!B35+'[1]Segment Analysis'!B49+'[1]Segment Analysis'!B63</f>
        <v>555000</v>
      </c>
      <c r="D26" s="111">
        <f>'[1]Segment Analysis'!C35+'[1]Segment Analysis'!C49+'[1]Segment Analysis'!C63</f>
        <v>715000</v>
      </c>
      <c r="E26" s="111">
        <f>'[1]Segment Analysis'!D35+'[1]Segment Analysis'!D49+'[1]Segment Analysis'!D63</f>
        <v>455000</v>
      </c>
      <c r="F26" s="111">
        <f>'[1]Segment Analysis'!E35+'[1]Segment Analysis'!E49+'[1]Segment Analysis'!E63</f>
        <v>1421000</v>
      </c>
      <c r="G26" s="111">
        <f>'[1]Segment Analysis'!F35+'[1]Segment Analysis'!F49+'[1]Segment Analysis'!F63</f>
        <v>990000</v>
      </c>
      <c r="H26" s="114">
        <f t="shared" si="4"/>
        <v>0.15567455910043382</v>
      </c>
    </row>
    <row r="27" spans="1:13" x14ac:dyDescent="0.3">
      <c r="A27" s="119"/>
      <c r="C27" s="111"/>
      <c r="D27" s="111"/>
      <c r="E27" s="111"/>
      <c r="F27" s="111"/>
      <c r="G27" s="111"/>
      <c r="H27" s="114"/>
    </row>
    <row r="28" spans="1:13" x14ac:dyDescent="0.3">
      <c r="A28" s="65"/>
      <c r="C28" s="111"/>
      <c r="D28" s="111"/>
      <c r="E28" s="111"/>
      <c r="F28" s="111"/>
      <c r="G28" s="111"/>
      <c r="H28" s="114"/>
    </row>
    <row r="29" spans="1:13" x14ac:dyDescent="0.3">
      <c r="A29" s="120" t="s">
        <v>272</v>
      </c>
      <c r="C29" s="111"/>
      <c r="D29" s="111"/>
      <c r="E29" s="111"/>
      <c r="F29" s="111"/>
      <c r="G29" s="111"/>
      <c r="H29" s="114"/>
    </row>
    <row r="30" spans="1:13" x14ac:dyDescent="0.3">
      <c r="A30" s="65"/>
      <c r="C30" s="111"/>
      <c r="D30" s="111"/>
      <c r="E30" s="111"/>
      <c r="F30" s="111"/>
      <c r="G30" s="111"/>
      <c r="H30" s="114"/>
      <c r="I30" s="111"/>
    </row>
    <row r="31" spans="1:13" x14ac:dyDescent="0.3">
      <c r="A31" s="65" t="s">
        <v>276</v>
      </c>
      <c r="C31" s="111">
        <f>'[1]Segment Analysis'!B116</f>
        <v>-4676000</v>
      </c>
      <c r="D31" s="111">
        <f>'[1]Segment Analysis'!C116</f>
        <v>-5015000</v>
      </c>
      <c r="E31" s="111">
        <f>'[1]Segment Analysis'!D116</f>
        <v>-5357000</v>
      </c>
      <c r="F31" s="111">
        <f>'[1]Segment Analysis'!E116</f>
        <v>-8397000</v>
      </c>
      <c r="G31" s="111">
        <f>'[1]Segment Analysis'!F116</f>
        <v>-8215000</v>
      </c>
      <c r="H31" s="114">
        <f t="shared" si="4"/>
        <v>0.15128611341672848</v>
      </c>
      <c r="I31" s="111"/>
    </row>
    <row r="32" spans="1:13" x14ac:dyDescent="0.3">
      <c r="A32" s="65" t="s">
        <v>742</v>
      </c>
      <c r="C32" s="111">
        <f>'[1]Segment Analysis'!B112+'[1]Segment Analysis'!B113</f>
        <v>-3785000</v>
      </c>
      <c r="D32" s="111">
        <f>'[1]Segment Analysis'!C106</f>
        <v>-4204000</v>
      </c>
      <c r="E32" s="111">
        <f>'[1]Segment Analysis'!D106</f>
        <v>-4466000</v>
      </c>
      <c r="F32" s="111">
        <f>'[1]Segment Analysis'!E106</f>
        <v>-4560000</v>
      </c>
      <c r="G32" s="111">
        <f>'[1]Segment Analysis'!F106</f>
        <v>-4560000</v>
      </c>
      <c r="H32" s="114">
        <f t="shared" si="4"/>
        <v>4.7670558768029947E-2</v>
      </c>
      <c r="I32" s="111"/>
      <c r="K32" s="110">
        <v>-8215000</v>
      </c>
      <c r="L32" s="441">
        <f>K34/K32</f>
        <v>0.42105903834449177</v>
      </c>
    </row>
    <row r="33" spans="1:11" x14ac:dyDescent="0.3">
      <c r="A33" s="65" t="s">
        <v>743</v>
      </c>
      <c r="C33" s="111">
        <f>'[1]Segment Analysis'!B105</f>
        <v>-879000</v>
      </c>
      <c r="D33" s="111">
        <f>'[1]Segment Analysis'!C105</f>
        <v>-802000</v>
      </c>
      <c r="E33" s="111">
        <f>'[1]Segment Analysis'!D105</f>
        <v>-884000</v>
      </c>
      <c r="F33" s="111">
        <f>'[1]Segment Analysis'!E105</f>
        <v>-3832000</v>
      </c>
      <c r="G33" s="111">
        <f>'[1]Segment Analysis'!F105</f>
        <v>-3459000</v>
      </c>
      <c r="H33" s="114">
        <f t="shared" si="4"/>
        <v>0.4084467167186332</v>
      </c>
      <c r="I33" s="111"/>
      <c r="K33" s="110">
        <v>-4560000</v>
      </c>
    </row>
    <row r="34" spans="1:11" x14ac:dyDescent="0.3">
      <c r="A34" s="65" t="s">
        <v>744</v>
      </c>
      <c r="C34" s="111">
        <f>C31-C33</f>
        <v>-3797000</v>
      </c>
      <c r="D34" s="111">
        <f t="shared" ref="D34:G34" si="5">D31-D33</f>
        <v>-4213000</v>
      </c>
      <c r="E34" s="111">
        <f t="shared" si="5"/>
        <v>-4473000</v>
      </c>
      <c r="F34" s="111">
        <f t="shared" si="5"/>
        <v>-4565000</v>
      </c>
      <c r="G34" s="111">
        <f t="shared" si="5"/>
        <v>-4756000</v>
      </c>
      <c r="H34" s="114">
        <f t="shared" si="4"/>
        <v>5.7913872740025685E-2</v>
      </c>
      <c r="K34" s="110">
        <v>-3459000</v>
      </c>
    </row>
    <row r="35" spans="1:11" x14ac:dyDescent="0.3">
      <c r="A35" s="65"/>
      <c r="C35" s="111"/>
      <c r="D35" s="111"/>
      <c r="E35" s="111"/>
      <c r="F35" s="111"/>
      <c r="G35" s="111">
        <f>G33/G31</f>
        <v>0.42105903834449177</v>
      </c>
      <c r="K35" s="110">
        <v>-4756000</v>
      </c>
    </row>
    <row r="36" spans="1:11" x14ac:dyDescent="0.3">
      <c r="A36" s="123" t="s">
        <v>282</v>
      </c>
      <c r="C36" s="111"/>
      <c r="D36" s="111"/>
      <c r="E36" s="111"/>
      <c r="F36" s="111"/>
      <c r="G36" s="111"/>
    </row>
  </sheetData>
  <pageMargins left="0.7" right="0.7" top="0.75" bottom="0.75" header="0.3" footer="0.3"/>
  <legacy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3AFB23-60FC-0348-9E8D-08EC39135F06}">
  <dimension ref="A1:M261"/>
  <sheetViews>
    <sheetView topLeftCell="A59" zoomScale="108" workbookViewId="0">
      <selection activeCell="H64" sqref="H64"/>
    </sheetView>
  </sheetViews>
  <sheetFormatPr defaultColWidth="8.88671875" defaultRowHeight="14.4" x14ac:dyDescent="0.3"/>
  <cols>
    <col min="1" max="1" width="48.33203125" style="124" customWidth="1"/>
    <col min="2" max="6" width="16.33203125" style="124" customWidth="1"/>
    <col min="7" max="16384" width="8.88671875" style="124"/>
  </cols>
  <sheetData>
    <row r="1" spans="1:13" ht="40.35" customHeight="1" x14ac:dyDescent="0.3">
      <c r="A1" s="444"/>
      <c r="B1" s="444"/>
      <c r="C1" s="444"/>
      <c r="D1" s="444"/>
    </row>
    <row r="2" spans="1:13" ht="30" customHeight="1" x14ac:dyDescent="0.35">
      <c r="A2" s="445" t="s">
        <v>745</v>
      </c>
      <c r="B2" s="445"/>
      <c r="C2" s="445"/>
      <c r="D2" s="445"/>
      <c r="E2" s="445"/>
      <c r="F2" s="445"/>
      <c r="G2" s="445"/>
      <c r="H2" s="445"/>
      <c r="I2" s="445"/>
      <c r="J2" s="445"/>
      <c r="K2" s="445"/>
      <c r="L2" s="445"/>
    </row>
    <row r="3" spans="1:13" x14ac:dyDescent="0.3">
      <c r="A3" s="125" t="s">
        <v>746</v>
      </c>
      <c r="M3" s="124" t="s">
        <v>178</v>
      </c>
    </row>
    <row r="5" spans="1:13" x14ac:dyDescent="0.3">
      <c r="A5" s="125" t="s">
        <v>747</v>
      </c>
      <c r="B5" s="126"/>
    </row>
    <row r="6" spans="1:13" x14ac:dyDescent="0.3">
      <c r="A6" s="125" t="s">
        <v>748</v>
      </c>
      <c r="B6" s="126"/>
    </row>
    <row r="7" spans="1:13" x14ac:dyDescent="0.3">
      <c r="A7" s="125" t="s">
        <v>749</v>
      </c>
      <c r="B7" s="126"/>
    </row>
    <row r="8" spans="1:13" x14ac:dyDescent="0.3">
      <c r="A8" s="125" t="s">
        <v>750</v>
      </c>
      <c r="B8" s="126"/>
    </row>
    <row r="9" spans="1:13" x14ac:dyDescent="0.3">
      <c r="A9" s="125" t="s">
        <v>751</v>
      </c>
      <c r="B9" s="126"/>
    </row>
    <row r="10" spans="1:13" x14ac:dyDescent="0.3">
      <c r="A10" s="125" t="s">
        <v>752</v>
      </c>
      <c r="B10" s="126"/>
    </row>
    <row r="11" spans="1:13" x14ac:dyDescent="0.3">
      <c r="A11" s="125" t="s">
        <v>753</v>
      </c>
      <c r="B11" s="126"/>
    </row>
    <row r="13" spans="1:13" x14ac:dyDescent="0.3">
      <c r="A13" s="443"/>
      <c r="B13" s="443"/>
      <c r="C13" s="443"/>
      <c r="D13" s="443"/>
      <c r="E13" s="443"/>
      <c r="F13" s="443"/>
    </row>
    <row r="14" spans="1:13" x14ac:dyDescent="0.3">
      <c r="A14" s="126" t="s">
        <v>754</v>
      </c>
    </row>
    <row r="15" spans="1:13" x14ac:dyDescent="0.3">
      <c r="A15" s="442" t="s">
        <v>755</v>
      </c>
      <c r="B15" s="442"/>
      <c r="C15" s="442"/>
      <c r="D15" s="442"/>
      <c r="E15" s="442"/>
      <c r="F15" s="442"/>
    </row>
    <row r="16" spans="1:13" x14ac:dyDescent="0.3">
      <c r="A16" s="127" t="s">
        <v>756</v>
      </c>
      <c r="B16" s="128" t="s">
        <v>757</v>
      </c>
      <c r="C16" s="128" t="s">
        <v>758</v>
      </c>
      <c r="D16" s="128" t="s">
        <v>759</v>
      </c>
      <c r="E16" s="128" t="s">
        <v>760</v>
      </c>
      <c r="F16" s="128" t="s">
        <v>761</v>
      </c>
    </row>
    <row r="17" spans="1:6" x14ac:dyDescent="0.3">
      <c r="A17" s="125" t="s">
        <v>762</v>
      </c>
      <c r="B17" s="129">
        <v>44196</v>
      </c>
      <c r="C17" s="129">
        <v>44561</v>
      </c>
      <c r="D17" s="129">
        <v>44926</v>
      </c>
      <c r="E17" s="129">
        <v>45291</v>
      </c>
      <c r="F17" s="129">
        <v>45657</v>
      </c>
    </row>
    <row r="18" spans="1:6" x14ac:dyDescent="0.3">
      <c r="A18" s="125" t="s">
        <v>763</v>
      </c>
      <c r="B18" s="130" t="s">
        <v>378</v>
      </c>
      <c r="C18" s="130" t="s">
        <v>378</v>
      </c>
      <c r="D18" s="130" t="s">
        <v>378</v>
      </c>
      <c r="E18" s="130" t="s">
        <v>378</v>
      </c>
      <c r="F18" s="130" t="s">
        <v>378</v>
      </c>
    </row>
    <row r="19" spans="1:6" x14ac:dyDescent="0.3">
      <c r="A19" s="125" t="s">
        <v>190</v>
      </c>
      <c r="B19" s="125"/>
      <c r="C19" s="125"/>
      <c r="D19" s="125"/>
      <c r="E19" s="125"/>
      <c r="F19" s="125"/>
    </row>
    <row r="20" spans="1:6" x14ac:dyDescent="0.3">
      <c r="A20" s="131" t="s">
        <v>764</v>
      </c>
      <c r="B20" s="125"/>
      <c r="C20" s="125"/>
      <c r="D20" s="125"/>
      <c r="E20" s="125"/>
      <c r="F20" s="125"/>
    </row>
    <row r="21" spans="1:6" x14ac:dyDescent="0.3">
      <c r="A21" s="125" t="s">
        <v>676</v>
      </c>
      <c r="B21" s="132">
        <v>1400000</v>
      </c>
      <c r="C21" s="132">
        <v>1997000</v>
      </c>
      <c r="D21" s="132">
        <v>1919000</v>
      </c>
      <c r="E21" s="132">
        <v>3071000</v>
      </c>
      <c r="F21" s="132">
        <v>1882000</v>
      </c>
    </row>
    <row r="22" spans="1:6" x14ac:dyDescent="0.3">
      <c r="A22" s="125" t="s">
        <v>678</v>
      </c>
      <c r="B22" s="130" t="s">
        <v>765</v>
      </c>
      <c r="C22" s="132">
        <v>10926000</v>
      </c>
      <c r="D22" s="132">
        <v>12577000</v>
      </c>
      <c r="E22" s="132">
        <v>13761000</v>
      </c>
      <c r="F22" s="132">
        <v>11382000</v>
      </c>
    </row>
    <row r="23" spans="1:6" x14ac:dyDescent="0.3">
      <c r="A23" s="125" t="s">
        <v>679</v>
      </c>
      <c r="B23" s="132">
        <v>-3000</v>
      </c>
      <c r="C23" s="130" t="s">
        <v>765</v>
      </c>
      <c r="D23" s="130" t="s">
        <v>765</v>
      </c>
      <c r="E23" s="130" t="s">
        <v>765</v>
      </c>
      <c r="F23" s="130" t="s">
        <v>765</v>
      </c>
    </row>
    <row r="24" spans="1:6" x14ac:dyDescent="0.3">
      <c r="A24" s="125" t="s">
        <v>680</v>
      </c>
      <c r="B24" s="132">
        <v>-90000</v>
      </c>
      <c r="C24" s="132">
        <v>-71000</v>
      </c>
      <c r="D24" s="132">
        <v>-57000</v>
      </c>
      <c r="E24" s="132">
        <v>-112000</v>
      </c>
      <c r="F24" s="132">
        <v>-79000</v>
      </c>
    </row>
    <row r="25" spans="1:6" x14ac:dyDescent="0.3">
      <c r="A25" s="125" t="s">
        <v>703</v>
      </c>
      <c r="B25" s="130" t="s">
        <v>765</v>
      </c>
      <c r="C25" s="130" t="s">
        <v>765</v>
      </c>
      <c r="D25" s="130" t="s">
        <v>765</v>
      </c>
      <c r="E25" s="130" t="s">
        <v>765</v>
      </c>
      <c r="F25" s="130" t="s">
        <v>765</v>
      </c>
    </row>
    <row r="26" spans="1:6" x14ac:dyDescent="0.3">
      <c r="A26" s="125" t="s">
        <v>706</v>
      </c>
      <c r="B26" s="130" t="s">
        <v>765</v>
      </c>
      <c r="C26" s="130" t="s">
        <v>765</v>
      </c>
      <c r="D26" s="130" t="s">
        <v>765</v>
      </c>
      <c r="E26" s="130" t="s">
        <v>765</v>
      </c>
      <c r="F26" s="130" t="s">
        <v>765</v>
      </c>
    </row>
    <row r="27" spans="1:6" x14ac:dyDescent="0.3">
      <c r="A27" s="125" t="s">
        <v>681</v>
      </c>
      <c r="B27" s="132">
        <v>2000</v>
      </c>
      <c r="C27" s="132">
        <v>5000</v>
      </c>
      <c r="D27" s="130" t="s">
        <v>765</v>
      </c>
      <c r="E27" s="130" t="s">
        <v>765</v>
      </c>
      <c r="F27" s="130" t="s">
        <v>765</v>
      </c>
    </row>
    <row r="28" spans="1:6" x14ac:dyDescent="0.3">
      <c r="A28" s="125" t="s">
        <v>689</v>
      </c>
      <c r="B28" s="132">
        <v>5313000</v>
      </c>
      <c r="C28" s="130" t="s">
        <v>765</v>
      </c>
      <c r="D28" s="130" t="s">
        <v>765</v>
      </c>
      <c r="E28" s="130" t="s">
        <v>765</v>
      </c>
      <c r="F28" s="130" t="s">
        <v>765</v>
      </c>
    </row>
    <row r="29" spans="1:6" x14ac:dyDescent="0.3">
      <c r="A29" s="125" t="s">
        <v>691</v>
      </c>
      <c r="B29" s="132">
        <v>4748000</v>
      </c>
      <c r="C29" s="130" t="s">
        <v>765</v>
      </c>
      <c r="D29" s="130" t="s">
        <v>765</v>
      </c>
      <c r="E29" s="130" t="s">
        <v>765</v>
      </c>
      <c r="F29" s="130" t="s">
        <v>765</v>
      </c>
    </row>
    <row r="30" spans="1:6" x14ac:dyDescent="0.3">
      <c r="A30" s="125" t="s">
        <v>707</v>
      </c>
      <c r="B30" s="130" t="s">
        <v>765</v>
      </c>
      <c r="C30" s="130" t="s">
        <v>765</v>
      </c>
      <c r="D30" s="130" t="s">
        <v>765</v>
      </c>
      <c r="E30" s="130" t="s">
        <v>765</v>
      </c>
      <c r="F30" s="130" t="s">
        <v>765</v>
      </c>
    </row>
    <row r="31" spans="1:6" x14ac:dyDescent="0.3">
      <c r="A31" s="125" t="s">
        <v>766</v>
      </c>
      <c r="B31" s="130" t="s">
        <v>765</v>
      </c>
      <c r="C31" s="130" t="s">
        <v>765</v>
      </c>
      <c r="D31" s="130" t="s">
        <v>765</v>
      </c>
      <c r="E31" s="130" t="s">
        <v>765</v>
      </c>
      <c r="F31" s="130" t="s">
        <v>765</v>
      </c>
    </row>
    <row r="32" spans="1:6" x14ac:dyDescent="0.3">
      <c r="A32" s="125" t="s">
        <v>767</v>
      </c>
      <c r="B32" s="133">
        <v>11370000</v>
      </c>
      <c r="C32" s="133">
        <v>12857000</v>
      </c>
      <c r="D32" s="133">
        <v>14439000</v>
      </c>
      <c r="E32" s="133">
        <v>16720000</v>
      </c>
      <c r="F32" s="133">
        <v>13185000</v>
      </c>
    </row>
    <row r="33" spans="1:6" x14ac:dyDescent="0.3">
      <c r="A33" s="125"/>
      <c r="B33" s="138">
        <f>B32-B21</f>
        <v>9970000</v>
      </c>
      <c r="C33" s="139">
        <f>C32-C21</f>
        <v>10860000</v>
      </c>
      <c r="D33" s="139">
        <f>D32-D21</f>
        <v>12520000</v>
      </c>
      <c r="E33" s="139">
        <f>E32-E21</f>
        <v>13649000</v>
      </c>
      <c r="F33" s="139">
        <f>F32-F21</f>
        <v>11303000</v>
      </c>
    </row>
    <row r="34" spans="1:6" x14ac:dyDescent="0.3">
      <c r="A34" s="131" t="s">
        <v>768</v>
      </c>
      <c r="B34" s="125"/>
      <c r="C34" s="125"/>
      <c r="D34" s="125"/>
      <c r="E34" s="125"/>
      <c r="F34" s="125"/>
    </row>
    <row r="35" spans="1:6" x14ac:dyDescent="0.3">
      <c r="A35" s="125" t="s">
        <v>676</v>
      </c>
      <c r="B35" s="132">
        <v>-174000</v>
      </c>
      <c r="C35" s="132">
        <v>-205000</v>
      </c>
      <c r="D35" s="132">
        <v>-104000</v>
      </c>
      <c r="E35" s="132">
        <v>-129000</v>
      </c>
      <c r="F35" s="132">
        <v>243000</v>
      </c>
    </row>
    <row r="36" spans="1:6" x14ac:dyDescent="0.3">
      <c r="A36" s="125" t="s">
        <v>678</v>
      </c>
      <c r="B36" s="130" t="s">
        <v>765</v>
      </c>
      <c r="C36" s="132">
        <v>-569000</v>
      </c>
      <c r="D36" s="132">
        <v>-647000</v>
      </c>
      <c r="E36" s="132">
        <v>-782000</v>
      </c>
      <c r="F36" s="132">
        <v>-848000</v>
      </c>
    </row>
    <row r="37" spans="1:6" x14ac:dyDescent="0.3">
      <c r="A37" s="125" t="s">
        <v>679</v>
      </c>
      <c r="B37" s="130" t="s">
        <v>765</v>
      </c>
      <c r="C37" s="130" t="s">
        <v>765</v>
      </c>
      <c r="D37" s="130" t="s">
        <v>765</v>
      </c>
      <c r="E37" s="130" t="s">
        <v>765</v>
      </c>
      <c r="F37" s="130" t="s">
        <v>765</v>
      </c>
    </row>
    <row r="38" spans="1:6" x14ac:dyDescent="0.3">
      <c r="A38" s="125" t="s">
        <v>680</v>
      </c>
      <c r="B38" s="132">
        <v>54000</v>
      </c>
      <c r="C38" s="132">
        <v>20000</v>
      </c>
      <c r="D38" s="130" t="s">
        <v>765</v>
      </c>
      <c r="E38" s="130" t="s">
        <v>765</v>
      </c>
      <c r="F38" s="130" t="s">
        <v>765</v>
      </c>
    </row>
    <row r="39" spans="1:6" x14ac:dyDescent="0.3">
      <c r="A39" s="125" t="s">
        <v>703</v>
      </c>
      <c r="B39" s="130" t="s">
        <v>765</v>
      </c>
      <c r="C39" s="130" t="s">
        <v>765</v>
      </c>
      <c r="D39" s="130" t="s">
        <v>765</v>
      </c>
      <c r="E39" s="130" t="s">
        <v>765</v>
      </c>
      <c r="F39" s="130" t="s">
        <v>765</v>
      </c>
    </row>
    <row r="40" spans="1:6" x14ac:dyDescent="0.3">
      <c r="A40" s="125" t="s">
        <v>706</v>
      </c>
      <c r="B40" s="130" t="s">
        <v>765</v>
      </c>
      <c r="C40" s="130" t="s">
        <v>765</v>
      </c>
      <c r="D40" s="130" t="s">
        <v>765</v>
      </c>
      <c r="E40" s="130" t="s">
        <v>765</v>
      </c>
      <c r="F40" s="130" t="s">
        <v>765</v>
      </c>
    </row>
    <row r="41" spans="1:6" x14ac:dyDescent="0.3">
      <c r="A41" s="125" t="s">
        <v>681</v>
      </c>
      <c r="B41" s="132">
        <v>-390000</v>
      </c>
      <c r="C41" s="132">
        <v>-444000</v>
      </c>
      <c r="D41" s="130" t="s">
        <v>765</v>
      </c>
      <c r="E41" s="130" t="s">
        <v>765</v>
      </c>
      <c r="F41" s="130" t="s">
        <v>765</v>
      </c>
    </row>
    <row r="42" spans="1:6" x14ac:dyDescent="0.3">
      <c r="A42" s="125" t="s">
        <v>689</v>
      </c>
      <c r="B42" s="132">
        <v>-413000</v>
      </c>
      <c r="C42" s="130" t="s">
        <v>765</v>
      </c>
      <c r="D42" s="130" t="s">
        <v>765</v>
      </c>
      <c r="E42" s="130" t="s">
        <v>765</v>
      </c>
      <c r="F42" s="130" t="s">
        <v>765</v>
      </c>
    </row>
    <row r="43" spans="1:6" x14ac:dyDescent="0.3">
      <c r="A43" s="125" t="s">
        <v>691</v>
      </c>
      <c r="B43" s="132">
        <v>-158000</v>
      </c>
      <c r="C43" s="130" t="s">
        <v>765</v>
      </c>
      <c r="D43" s="130" t="s">
        <v>765</v>
      </c>
      <c r="E43" s="130" t="s">
        <v>765</v>
      </c>
      <c r="F43" s="130" t="s">
        <v>765</v>
      </c>
    </row>
    <row r="44" spans="1:6" x14ac:dyDescent="0.3">
      <c r="A44" s="125" t="s">
        <v>707</v>
      </c>
      <c r="B44" s="130" t="s">
        <v>765</v>
      </c>
      <c r="C44" s="130" t="s">
        <v>765</v>
      </c>
      <c r="D44" s="130" t="s">
        <v>765</v>
      </c>
      <c r="E44" s="130" t="s">
        <v>765</v>
      </c>
      <c r="F44" s="130" t="s">
        <v>765</v>
      </c>
    </row>
    <row r="45" spans="1:6" x14ac:dyDescent="0.3">
      <c r="A45" s="125" t="s">
        <v>766</v>
      </c>
      <c r="B45" s="130" t="s">
        <v>765</v>
      </c>
      <c r="C45" s="130" t="s">
        <v>765</v>
      </c>
      <c r="D45" s="130" t="s">
        <v>765</v>
      </c>
      <c r="E45" s="130" t="s">
        <v>765</v>
      </c>
      <c r="F45" s="130" t="s">
        <v>765</v>
      </c>
    </row>
    <row r="46" spans="1:6" x14ac:dyDescent="0.3">
      <c r="A46" s="125" t="s">
        <v>767</v>
      </c>
      <c r="B46" s="133">
        <v>-1081000</v>
      </c>
      <c r="C46" s="133">
        <v>-1198000</v>
      </c>
      <c r="D46" s="133">
        <v>-751000</v>
      </c>
      <c r="E46" s="133">
        <v>-911000</v>
      </c>
      <c r="F46" s="133">
        <v>-605000</v>
      </c>
    </row>
    <row r="47" spans="1:6" x14ac:dyDescent="0.3">
      <c r="A47" s="125" t="s">
        <v>190</v>
      </c>
      <c r="B47" s="125"/>
      <c r="C47" s="125"/>
      <c r="D47" s="125"/>
      <c r="E47" s="125"/>
      <c r="F47" s="125"/>
    </row>
    <row r="48" spans="1:6" x14ac:dyDescent="0.3">
      <c r="A48" s="131" t="s">
        <v>769</v>
      </c>
      <c r="B48" s="125"/>
      <c r="C48" s="125"/>
      <c r="D48" s="125"/>
      <c r="E48" s="125"/>
      <c r="F48" s="125"/>
    </row>
    <row r="49" spans="1:6" x14ac:dyDescent="0.3">
      <c r="A49" s="125" t="s">
        <v>676</v>
      </c>
      <c r="B49" s="132">
        <v>149000</v>
      </c>
      <c r="C49" s="132">
        <v>238000</v>
      </c>
      <c r="D49" s="132">
        <v>249000</v>
      </c>
      <c r="E49" s="132">
        <v>673000</v>
      </c>
      <c r="F49" s="132">
        <v>-164000</v>
      </c>
    </row>
    <row r="50" spans="1:6" x14ac:dyDescent="0.3">
      <c r="A50" s="125" t="s">
        <v>678</v>
      </c>
      <c r="B50" s="130" t="s">
        <v>765</v>
      </c>
      <c r="C50" s="132">
        <v>-109000</v>
      </c>
      <c r="D50" s="132">
        <v>320000</v>
      </c>
      <c r="E50" s="132">
        <v>-31000</v>
      </c>
      <c r="F50" s="132">
        <v>184000</v>
      </c>
    </row>
    <row r="51" spans="1:6" x14ac:dyDescent="0.3">
      <c r="A51" s="125" t="s">
        <v>679</v>
      </c>
      <c r="B51" s="130" t="s">
        <v>765</v>
      </c>
      <c r="C51" s="130" t="s">
        <v>765</v>
      </c>
      <c r="D51" s="130" t="s">
        <v>765</v>
      </c>
      <c r="E51" s="130" t="s">
        <v>765</v>
      </c>
      <c r="F51" s="130" t="s">
        <v>765</v>
      </c>
    </row>
    <row r="52" spans="1:6" x14ac:dyDescent="0.3">
      <c r="A52" s="125" t="s">
        <v>680</v>
      </c>
      <c r="B52" s="130" t="s">
        <v>765</v>
      </c>
      <c r="C52" s="130" t="s">
        <v>765</v>
      </c>
      <c r="D52" s="130" t="s">
        <v>765</v>
      </c>
      <c r="E52" s="130" t="s">
        <v>765</v>
      </c>
      <c r="F52" s="130" t="s">
        <v>765</v>
      </c>
    </row>
    <row r="53" spans="1:6" x14ac:dyDescent="0.3">
      <c r="A53" s="125" t="s">
        <v>703</v>
      </c>
      <c r="B53" s="132">
        <v>1000</v>
      </c>
      <c r="C53" s="130" t="s">
        <v>765</v>
      </c>
      <c r="D53" s="130" t="s">
        <v>765</v>
      </c>
      <c r="E53" s="130" t="s">
        <v>765</v>
      </c>
      <c r="F53" s="130" t="s">
        <v>765</v>
      </c>
    </row>
    <row r="54" spans="1:6" x14ac:dyDescent="0.3">
      <c r="A54" s="125" t="s">
        <v>706</v>
      </c>
      <c r="B54" s="130" t="s">
        <v>765</v>
      </c>
      <c r="C54" s="130" t="s">
        <v>765</v>
      </c>
      <c r="D54" s="130" t="s">
        <v>765</v>
      </c>
      <c r="E54" s="130" t="s">
        <v>765</v>
      </c>
      <c r="F54" s="130" t="s">
        <v>765</v>
      </c>
    </row>
    <row r="55" spans="1:6" x14ac:dyDescent="0.3">
      <c r="A55" s="125" t="s">
        <v>681</v>
      </c>
      <c r="B55" s="132">
        <v>-187000</v>
      </c>
      <c r="C55" s="132">
        <v>-30000</v>
      </c>
      <c r="D55" s="130" t="s">
        <v>765</v>
      </c>
      <c r="E55" s="130" t="s">
        <v>765</v>
      </c>
      <c r="F55" s="130" t="s">
        <v>765</v>
      </c>
    </row>
    <row r="56" spans="1:6" x14ac:dyDescent="0.3">
      <c r="A56" s="125" t="s">
        <v>689</v>
      </c>
      <c r="B56" s="132">
        <v>190000</v>
      </c>
      <c r="C56" s="130" t="s">
        <v>765</v>
      </c>
      <c r="D56" s="130" t="s">
        <v>765</v>
      </c>
      <c r="E56" s="130" t="s">
        <v>765</v>
      </c>
      <c r="F56" s="130" t="s">
        <v>765</v>
      </c>
    </row>
    <row r="57" spans="1:6" x14ac:dyDescent="0.3">
      <c r="A57" s="125" t="s">
        <v>691</v>
      </c>
      <c r="B57" s="132">
        <v>96000</v>
      </c>
      <c r="C57" s="130" t="s">
        <v>765</v>
      </c>
      <c r="D57" s="130" t="s">
        <v>765</v>
      </c>
      <c r="E57" s="130" t="s">
        <v>765</v>
      </c>
      <c r="F57" s="130" t="s">
        <v>765</v>
      </c>
    </row>
    <row r="58" spans="1:6" x14ac:dyDescent="0.3">
      <c r="A58" s="125" t="s">
        <v>707</v>
      </c>
      <c r="B58" s="130" t="s">
        <v>765</v>
      </c>
      <c r="C58" s="130" t="s">
        <v>765</v>
      </c>
      <c r="D58" s="130" t="s">
        <v>765</v>
      </c>
      <c r="E58" s="130" t="s">
        <v>765</v>
      </c>
      <c r="F58" s="130" t="s">
        <v>765</v>
      </c>
    </row>
    <row r="59" spans="1:6" x14ac:dyDescent="0.3">
      <c r="A59" s="125" t="s">
        <v>766</v>
      </c>
      <c r="B59" s="130" t="s">
        <v>765</v>
      </c>
      <c r="C59" s="130" t="s">
        <v>765</v>
      </c>
      <c r="D59" s="130" t="s">
        <v>765</v>
      </c>
      <c r="E59" s="130" t="s">
        <v>765</v>
      </c>
      <c r="F59" s="130" t="s">
        <v>765</v>
      </c>
    </row>
    <row r="60" spans="1:6" x14ac:dyDescent="0.3">
      <c r="A60" s="125" t="s">
        <v>767</v>
      </c>
      <c r="B60" s="133">
        <v>249000</v>
      </c>
      <c r="C60" s="133">
        <v>99000</v>
      </c>
      <c r="D60" s="133">
        <v>569000</v>
      </c>
      <c r="E60" s="133">
        <v>642000</v>
      </c>
      <c r="F60" s="133">
        <v>20000</v>
      </c>
    </row>
    <row r="61" spans="1:6" x14ac:dyDescent="0.3">
      <c r="A61" s="125" t="s">
        <v>190</v>
      </c>
      <c r="B61" s="125"/>
      <c r="C61" s="125"/>
      <c r="D61" s="125"/>
      <c r="E61" s="125"/>
      <c r="F61" s="125"/>
    </row>
    <row r="62" spans="1:6" x14ac:dyDescent="0.3">
      <c r="A62" s="131" t="s">
        <v>770</v>
      </c>
      <c r="B62" s="125"/>
      <c r="C62" s="125"/>
      <c r="D62" s="125"/>
      <c r="E62" s="125"/>
      <c r="F62" s="125"/>
    </row>
    <row r="63" spans="1:6" x14ac:dyDescent="0.3">
      <c r="A63" s="125" t="s">
        <v>676</v>
      </c>
      <c r="B63" s="132">
        <v>580000</v>
      </c>
      <c r="C63" s="132">
        <v>682000</v>
      </c>
      <c r="D63" s="132">
        <v>310000</v>
      </c>
      <c r="E63" s="132">
        <v>877000</v>
      </c>
      <c r="F63" s="132">
        <v>911000</v>
      </c>
    </row>
    <row r="64" spans="1:6" x14ac:dyDescent="0.3">
      <c r="A64" s="125" t="s">
        <v>678</v>
      </c>
      <c r="B64" s="130" t="s">
        <v>765</v>
      </c>
      <c r="C64" s="132">
        <v>392000</v>
      </c>
      <c r="D64" s="132">
        <v>1514000</v>
      </c>
      <c r="E64" s="132">
        <v>1747000</v>
      </c>
      <c r="F64" s="132">
        <v>1846000</v>
      </c>
    </row>
    <row r="65" spans="1:6" x14ac:dyDescent="0.3">
      <c r="A65" s="125" t="s">
        <v>679</v>
      </c>
      <c r="B65" s="130" t="s">
        <v>765</v>
      </c>
      <c r="C65" s="130" t="s">
        <v>765</v>
      </c>
      <c r="D65" s="130" t="s">
        <v>765</v>
      </c>
      <c r="E65" s="130" t="s">
        <v>765</v>
      </c>
      <c r="F65" s="130" t="s">
        <v>765</v>
      </c>
    </row>
    <row r="66" spans="1:6" x14ac:dyDescent="0.3">
      <c r="A66" s="125" t="s">
        <v>680</v>
      </c>
      <c r="B66" s="130" t="s">
        <v>765</v>
      </c>
      <c r="C66" s="130" t="s">
        <v>765</v>
      </c>
      <c r="D66" s="130" t="s">
        <v>765</v>
      </c>
      <c r="E66" s="130" t="s">
        <v>765</v>
      </c>
      <c r="F66" s="130" t="s">
        <v>765</v>
      </c>
    </row>
    <row r="67" spans="1:6" x14ac:dyDescent="0.3">
      <c r="A67" s="125" t="s">
        <v>703</v>
      </c>
      <c r="B67" s="132">
        <v>579000</v>
      </c>
      <c r="C67" s="132">
        <v>616000</v>
      </c>
      <c r="D67" s="132">
        <v>736000</v>
      </c>
      <c r="E67" s="132">
        <v>694000</v>
      </c>
      <c r="F67" s="132">
        <v>781000</v>
      </c>
    </row>
    <row r="68" spans="1:6" x14ac:dyDescent="0.3">
      <c r="A68" s="125" t="s">
        <v>706</v>
      </c>
      <c r="B68" s="130" t="s">
        <v>765</v>
      </c>
      <c r="C68" s="130" t="s">
        <v>765</v>
      </c>
      <c r="D68" s="132">
        <v>-466000</v>
      </c>
      <c r="E68" s="132">
        <v>-288000</v>
      </c>
      <c r="F68" s="132">
        <v>-721000</v>
      </c>
    </row>
    <row r="69" spans="1:6" x14ac:dyDescent="0.3">
      <c r="A69" s="125" t="s">
        <v>681</v>
      </c>
      <c r="B69" s="132">
        <v>-563000</v>
      </c>
      <c r="C69" s="132">
        <v>-436000</v>
      </c>
      <c r="D69" s="130" t="s">
        <v>765</v>
      </c>
      <c r="E69" s="130" t="s">
        <v>765</v>
      </c>
      <c r="F69" s="130" t="s">
        <v>765</v>
      </c>
    </row>
    <row r="70" spans="1:6" x14ac:dyDescent="0.3">
      <c r="A70" s="125" t="s">
        <v>689</v>
      </c>
      <c r="B70" s="132">
        <v>824000</v>
      </c>
      <c r="C70" s="130" t="s">
        <v>765</v>
      </c>
      <c r="D70" s="130" t="s">
        <v>765</v>
      </c>
      <c r="E70" s="130" t="s">
        <v>765</v>
      </c>
      <c r="F70" s="130" t="s">
        <v>765</v>
      </c>
    </row>
    <row r="71" spans="1:6" x14ac:dyDescent="0.3">
      <c r="A71" s="125" t="s">
        <v>691</v>
      </c>
      <c r="B71" s="132">
        <v>504000</v>
      </c>
      <c r="C71" s="130" t="s">
        <v>765</v>
      </c>
      <c r="D71" s="130" t="s">
        <v>765</v>
      </c>
      <c r="E71" s="130" t="s">
        <v>765</v>
      </c>
      <c r="F71" s="130" t="s">
        <v>765</v>
      </c>
    </row>
    <row r="72" spans="1:6" x14ac:dyDescent="0.3">
      <c r="A72" s="125" t="s">
        <v>707</v>
      </c>
      <c r="B72" s="132">
        <v>1840000</v>
      </c>
      <c r="C72" s="130" t="s">
        <v>765</v>
      </c>
      <c r="D72" s="130" t="s">
        <v>765</v>
      </c>
      <c r="E72" s="130" t="s">
        <v>765</v>
      </c>
      <c r="F72" s="130" t="s">
        <v>765</v>
      </c>
    </row>
    <row r="73" spans="1:6" x14ac:dyDescent="0.3">
      <c r="A73" s="125" t="s">
        <v>766</v>
      </c>
      <c r="B73" s="130" t="s">
        <v>765</v>
      </c>
      <c r="C73" s="130" t="s">
        <v>765</v>
      </c>
      <c r="D73" s="130" t="s">
        <v>765</v>
      </c>
      <c r="E73" s="130" t="s">
        <v>765</v>
      </c>
      <c r="F73" s="130" t="s">
        <v>765</v>
      </c>
    </row>
    <row r="74" spans="1:6" x14ac:dyDescent="0.3">
      <c r="A74" s="125" t="s">
        <v>767</v>
      </c>
      <c r="B74" s="133">
        <v>3764000</v>
      </c>
      <c r="C74" s="133">
        <v>1254000</v>
      </c>
      <c r="D74" s="133">
        <v>2094000</v>
      </c>
      <c r="E74" s="133">
        <v>3030000</v>
      </c>
      <c r="F74" s="133">
        <v>2817000</v>
      </c>
    </row>
    <row r="75" spans="1:6" x14ac:dyDescent="0.3">
      <c r="A75" s="125" t="s">
        <v>190</v>
      </c>
      <c r="B75" s="125"/>
      <c r="C75" s="125"/>
      <c r="D75" s="125"/>
      <c r="E75" s="125"/>
      <c r="F75" s="125"/>
    </row>
    <row r="76" spans="1:6" x14ac:dyDescent="0.3">
      <c r="A76" s="131" t="s">
        <v>771</v>
      </c>
      <c r="B76" s="125"/>
      <c r="C76" s="125"/>
      <c r="D76" s="125"/>
      <c r="E76" s="125"/>
      <c r="F76" s="125"/>
    </row>
    <row r="77" spans="1:6" x14ac:dyDescent="0.3">
      <c r="A77" s="125" t="s">
        <v>676</v>
      </c>
      <c r="B77" s="130" t="s">
        <v>765</v>
      </c>
      <c r="C77" s="132">
        <v>14408000</v>
      </c>
      <c r="D77" s="132">
        <v>15760000</v>
      </c>
      <c r="E77" s="132">
        <v>19430000</v>
      </c>
      <c r="F77" s="132">
        <v>22954000</v>
      </c>
    </row>
    <row r="78" spans="1:6" x14ac:dyDescent="0.3">
      <c r="A78" s="125" t="s">
        <v>678</v>
      </c>
      <c r="B78" s="130" t="s">
        <v>765</v>
      </c>
      <c r="C78" s="130" t="s">
        <v>765</v>
      </c>
      <c r="D78" s="132">
        <v>48696000</v>
      </c>
      <c r="E78" s="132">
        <v>53430000</v>
      </c>
      <c r="F78" s="132">
        <v>56116000</v>
      </c>
    </row>
    <row r="79" spans="1:6" x14ac:dyDescent="0.3">
      <c r="A79" s="125" t="s">
        <v>679</v>
      </c>
      <c r="B79" s="130" t="s">
        <v>765</v>
      </c>
      <c r="C79" s="130" t="s">
        <v>765</v>
      </c>
      <c r="D79" s="130" t="s">
        <v>765</v>
      </c>
      <c r="E79" s="130" t="s">
        <v>765</v>
      </c>
      <c r="F79" s="130" t="s">
        <v>765</v>
      </c>
    </row>
    <row r="80" spans="1:6" x14ac:dyDescent="0.3">
      <c r="A80" s="125" t="s">
        <v>680</v>
      </c>
      <c r="B80" s="130" t="s">
        <v>765</v>
      </c>
      <c r="C80" s="132">
        <v>-1191000</v>
      </c>
      <c r="D80" s="132">
        <v>-1039000</v>
      </c>
      <c r="E80" s="132">
        <v>-1038000</v>
      </c>
      <c r="F80" s="132">
        <v>-1071000</v>
      </c>
    </row>
    <row r="81" spans="1:6" x14ac:dyDescent="0.3">
      <c r="A81" s="125" t="s">
        <v>703</v>
      </c>
      <c r="B81" s="130" t="s">
        <v>765</v>
      </c>
      <c r="C81" s="132">
        <v>13047000</v>
      </c>
      <c r="D81" s="132">
        <v>13781000</v>
      </c>
      <c r="E81" s="132">
        <v>14392000</v>
      </c>
      <c r="F81" s="132">
        <v>15534000</v>
      </c>
    </row>
    <row r="82" spans="1:6" x14ac:dyDescent="0.3">
      <c r="A82" s="125" t="s">
        <v>706</v>
      </c>
      <c r="B82" s="130" t="s">
        <v>765</v>
      </c>
      <c r="C82" s="130" t="s">
        <v>765</v>
      </c>
      <c r="D82" s="130" t="s">
        <v>765</v>
      </c>
      <c r="E82" s="132">
        <v>967000</v>
      </c>
      <c r="F82" s="132">
        <v>2622000</v>
      </c>
    </row>
    <row r="83" spans="1:6" x14ac:dyDescent="0.3">
      <c r="A83" s="125" t="s">
        <v>681</v>
      </c>
      <c r="B83" s="130" t="s">
        <v>765</v>
      </c>
      <c r="C83" s="132">
        <v>1399000</v>
      </c>
      <c r="D83" s="132">
        <v>1376000</v>
      </c>
      <c r="E83" s="130" t="s">
        <v>765</v>
      </c>
      <c r="F83" s="130" t="s">
        <v>765</v>
      </c>
    </row>
    <row r="84" spans="1:6" x14ac:dyDescent="0.3">
      <c r="A84" s="125" t="s">
        <v>689</v>
      </c>
      <c r="B84" s="130" t="s">
        <v>765</v>
      </c>
      <c r="C84" s="132">
        <v>24058000</v>
      </c>
      <c r="D84" s="130" t="s">
        <v>765</v>
      </c>
      <c r="E84" s="130" t="s">
        <v>765</v>
      </c>
      <c r="F84" s="130" t="s">
        <v>765</v>
      </c>
    </row>
    <row r="85" spans="1:6" x14ac:dyDescent="0.3">
      <c r="A85" s="125" t="s">
        <v>691</v>
      </c>
      <c r="B85" s="130" t="s">
        <v>765</v>
      </c>
      <c r="C85" s="132">
        <v>20324000</v>
      </c>
      <c r="D85" s="130" t="s">
        <v>765</v>
      </c>
      <c r="E85" s="130" t="s">
        <v>765</v>
      </c>
      <c r="F85" s="130" t="s">
        <v>765</v>
      </c>
    </row>
    <row r="86" spans="1:6" x14ac:dyDescent="0.3">
      <c r="A86" s="125" t="s">
        <v>707</v>
      </c>
      <c r="B86" s="130" t="s">
        <v>765</v>
      </c>
      <c r="C86" s="130" t="s">
        <v>765</v>
      </c>
      <c r="D86" s="130" t="s">
        <v>765</v>
      </c>
      <c r="E86" s="130" t="s">
        <v>765</v>
      </c>
      <c r="F86" s="130" t="s">
        <v>765</v>
      </c>
    </row>
    <row r="87" spans="1:6" x14ac:dyDescent="0.3">
      <c r="A87" s="125" t="s">
        <v>766</v>
      </c>
      <c r="B87" s="130" t="s">
        <v>765</v>
      </c>
      <c r="C87" s="130" t="s">
        <v>765</v>
      </c>
      <c r="D87" s="130" t="s">
        <v>765</v>
      </c>
      <c r="E87" s="130" t="s">
        <v>765</v>
      </c>
      <c r="F87" s="130" t="s">
        <v>765</v>
      </c>
    </row>
    <row r="88" spans="1:6" x14ac:dyDescent="0.3">
      <c r="A88" s="125" t="s">
        <v>767</v>
      </c>
      <c r="B88" s="134" t="s">
        <v>765</v>
      </c>
      <c r="C88" s="133">
        <v>72045000</v>
      </c>
      <c r="D88" s="133">
        <v>78574000</v>
      </c>
      <c r="E88" s="133">
        <v>87181000</v>
      </c>
      <c r="F88" s="133">
        <v>96155000</v>
      </c>
    </row>
    <row r="89" spans="1:6" x14ac:dyDescent="0.3">
      <c r="A89" s="125" t="s">
        <v>190</v>
      </c>
      <c r="B89" s="125"/>
      <c r="C89" s="125"/>
      <c r="D89" s="125"/>
      <c r="E89" s="125"/>
      <c r="F89" s="125"/>
    </row>
    <row r="90" spans="1:6" x14ac:dyDescent="0.3">
      <c r="A90" s="131" t="s">
        <v>772</v>
      </c>
      <c r="B90" s="125"/>
      <c r="C90" s="125"/>
      <c r="D90" s="125"/>
      <c r="E90" s="125"/>
      <c r="F90" s="125"/>
    </row>
    <row r="91" spans="1:6" x14ac:dyDescent="0.3">
      <c r="A91" s="125" t="s">
        <v>676</v>
      </c>
      <c r="B91" s="132">
        <v>198000</v>
      </c>
      <c r="C91" s="132">
        <v>239000</v>
      </c>
      <c r="D91" s="132">
        <v>268000</v>
      </c>
      <c r="E91" s="132">
        <v>281000</v>
      </c>
      <c r="F91" s="132">
        <v>297000</v>
      </c>
    </row>
    <row r="92" spans="1:6" x14ac:dyDescent="0.3">
      <c r="A92" s="125" t="s">
        <v>678</v>
      </c>
      <c r="B92" s="130" t="s">
        <v>765</v>
      </c>
      <c r="C92" s="132">
        <v>1605000</v>
      </c>
      <c r="D92" s="132">
        <v>1743000</v>
      </c>
      <c r="E92" s="132">
        <v>1937000</v>
      </c>
      <c r="F92" s="132">
        <v>2133000</v>
      </c>
    </row>
    <row r="93" spans="1:6" x14ac:dyDescent="0.3">
      <c r="A93" s="125" t="s">
        <v>679</v>
      </c>
      <c r="B93" s="130" t="s">
        <v>765</v>
      </c>
      <c r="C93" s="130" t="s">
        <v>765</v>
      </c>
      <c r="D93" s="130" t="s">
        <v>765</v>
      </c>
      <c r="E93" s="130" t="s">
        <v>765</v>
      </c>
      <c r="F93" s="130" t="s">
        <v>765</v>
      </c>
    </row>
    <row r="94" spans="1:6" x14ac:dyDescent="0.3">
      <c r="A94" s="125" t="s">
        <v>680</v>
      </c>
      <c r="B94" s="130" t="s">
        <v>765</v>
      </c>
      <c r="C94" s="130" t="s">
        <v>765</v>
      </c>
      <c r="D94" s="130" t="s">
        <v>765</v>
      </c>
      <c r="E94" s="130" t="s">
        <v>765</v>
      </c>
      <c r="F94" s="130" t="s">
        <v>765</v>
      </c>
    </row>
    <row r="95" spans="1:6" x14ac:dyDescent="0.3">
      <c r="A95" s="125" t="s">
        <v>703</v>
      </c>
      <c r="B95" s="130" t="s">
        <v>765</v>
      </c>
      <c r="C95" s="130" t="s">
        <v>765</v>
      </c>
      <c r="D95" s="130" t="s">
        <v>765</v>
      </c>
      <c r="E95" s="130" t="s">
        <v>765</v>
      </c>
      <c r="F95" s="130" t="s">
        <v>765</v>
      </c>
    </row>
    <row r="96" spans="1:6" x14ac:dyDescent="0.3">
      <c r="A96" s="125" t="s">
        <v>706</v>
      </c>
      <c r="B96" s="130" t="s">
        <v>765</v>
      </c>
      <c r="C96" s="130" t="s">
        <v>765</v>
      </c>
      <c r="D96" s="130" t="s">
        <v>765</v>
      </c>
      <c r="E96" s="130" t="s">
        <v>765</v>
      </c>
      <c r="F96" s="130" t="s">
        <v>765</v>
      </c>
    </row>
    <row r="97" spans="1:6" x14ac:dyDescent="0.3">
      <c r="A97" s="125" t="s">
        <v>681</v>
      </c>
      <c r="B97" s="132">
        <v>13000</v>
      </c>
      <c r="C97" s="132">
        <v>11000</v>
      </c>
      <c r="D97" s="130" t="s">
        <v>765</v>
      </c>
      <c r="E97" s="130" t="s">
        <v>765</v>
      </c>
      <c r="F97" s="130" t="s">
        <v>765</v>
      </c>
    </row>
    <row r="98" spans="1:6" x14ac:dyDescent="0.3">
      <c r="A98" s="125" t="s">
        <v>689</v>
      </c>
      <c r="B98" s="132">
        <v>801000</v>
      </c>
      <c r="C98" s="130" t="s">
        <v>765</v>
      </c>
      <c r="D98" s="130" t="s">
        <v>765</v>
      </c>
      <c r="E98" s="130" t="s">
        <v>765</v>
      </c>
      <c r="F98" s="130" t="s">
        <v>765</v>
      </c>
    </row>
    <row r="99" spans="1:6" x14ac:dyDescent="0.3">
      <c r="A99" s="125" t="s">
        <v>691</v>
      </c>
      <c r="B99" s="132">
        <v>654000</v>
      </c>
      <c r="C99" s="130" t="s">
        <v>765</v>
      </c>
      <c r="D99" s="130" t="s">
        <v>765</v>
      </c>
      <c r="E99" s="130" t="s">
        <v>765</v>
      </c>
      <c r="F99" s="130" t="s">
        <v>765</v>
      </c>
    </row>
    <row r="100" spans="1:6" x14ac:dyDescent="0.3">
      <c r="A100" s="125" t="s">
        <v>707</v>
      </c>
      <c r="B100" s="130" t="s">
        <v>765</v>
      </c>
      <c r="C100" s="130" t="s">
        <v>765</v>
      </c>
      <c r="D100" s="130" t="s">
        <v>765</v>
      </c>
      <c r="E100" s="130" t="s">
        <v>765</v>
      </c>
      <c r="F100" s="130" t="s">
        <v>765</v>
      </c>
    </row>
    <row r="101" spans="1:6" x14ac:dyDescent="0.3">
      <c r="A101" s="125" t="s">
        <v>766</v>
      </c>
      <c r="B101" s="130" t="s">
        <v>765</v>
      </c>
      <c r="C101" s="130" t="s">
        <v>765</v>
      </c>
      <c r="D101" s="130" t="s">
        <v>765</v>
      </c>
      <c r="E101" s="130" t="s">
        <v>765</v>
      </c>
      <c r="F101" s="130" t="s">
        <v>765</v>
      </c>
    </row>
    <row r="102" spans="1:6" x14ac:dyDescent="0.3">
      <c r="A102" s="125" t="s">
        <v>767</v>
      </c>
      <c r="B102" s="133">
        <v>1666000</v>
      </c>
      <c r="C102" s="133">
        <v>1855000</v>
      </c>
      <c r="D102" s="133">
        <v>2011000</v>
      </c>
      <c r="E102" s="133">
        <v>2218000</v>
      </c>
      <c r="F102" s="133">
        <v>2430000</v>
      </c>
    </row>
    <row r="103" spans="1:6" x14ac:dyDescent="0.3">
      <c r="A103" s="125" t="s">
        <v>190</v>
      </c>
      <c r="B103" s="138">
        <f>B102-B91</f>
        <v>1468000</v>
      </c>
      <c r="C103" s="139">
        <f>C102-C91</f>
        <v>1616000</v>
      </c>
      <c r="D103" s="139">
        <f>D102-D91</f>
        <v>1743000</v>
      </c>
      <c r="E103" s="139">
        <f>E102-E91</f>
        <v>1937000</v>
      </c>
      <c r="F103" s="139">
        <f>F102-F91</f>
        <v>2133000</v>
      </c>
    </row>
    <row r="104" spans="1:6" x14ac:dyDescent="0.3">
      <c r="A104" s="131" t="s">
        <v>773</v>
      </c>
      <c r="B104" s="125"/>
      <c r="C104" s="125"/>
      <c r="D104" s="125"/>
      <c r="E104" s="125"/>
      <c r="F104" s="125"/>
    </row>
    <row r="105" spans="1:6" x14ac:dyDescent="0.3">
      <c r="A105" s="125" t="s">
        <v>676</v>
      </c>
      <c r="B105" s="132">
        <v>-879000</v>
      </c>
      <c r="C105" s="132">
        <v>-802000</v>
      </c>
      <c r="D105" s="132">
        <v>-884000</v>
      </c>
      <c r="E105" s="132">
        <v>-3832000</v>
      </c>
      <c r="F105" s="132">
        <v>-3459000</v>
      </c>
    </row>
    <row r="106" spans="1:6" x14ac:dyDescent="0.3">
      <c r="A106" s="125" t="s">
        <v>678</v>
      </c>
      <c r="B106" s="130" t="s">
        <v>765</v>
      </c>
      <c r="C106" s="132">
        <v>-4204000</v>
      </c>
      <c r="D106" s="132">
        <v>-4466000</v>
      </c>
      <c r="E106" s="132">
        <v>-4560000</v>
      </c>
      <c r="F106" s="132">
        <v>-4753000</v>
      </c>
    </row>
    <row r="107" spans="1:6" x14ac:dyDescent="0.3">
      <c r="A107" s="125" t="s">
        <v>679</v>
      </c>
      <c r="B107" s="130" t="s">
        <v>765</v>
      </c>
      <c r="C107" s="130" t="s">
        <v>765</v>
      </c>
      <c r="D107" s="130" t="s">
        <v>765</v>
      </c>
      <c r="E107" s="130" t="s">
        <v>765</v>
      </c>
      <c r="F107" s="130" t="s">
        <v>765</v>
      </c>
    </row>
    <row r="108" spans="1:6" x14ac:dyDescent="0.3">
      <c r="A108" s="125" t="s">
        <v>680</v>
      </c>
      <c r="B108" s="130" t="s">
        <v>765</v>
      </c>
      <c r="C108" s="130" t="s">
        <v>765</v>
      </c>
      <c r="D108" s="130" t="s">
        <v>765</v>
      </c>
      <c r="E108" s="130" t="s">
        <v>765</v>
      </c>
      <c r="F108" s="130" t="s">
        <v>765</v>
      </c>
    </row>
    <row r="109" spans="1:6" x14ac:dyDescent="0.3">
      <c r="A109" s="125" t="s">
        <v>703</v>
      </c>
      <c r="B109" s="130" t="s">
        <v>765</v>
      </c>
      <c r="C109" s="130" t="s">
        <v>765</v>
      </c>
      <c r="D109" s="130" t="s">
        <v>765</v>
      </c>
      <c r="E109" s="130" t="s">
        <v>765</v>
      </c>
      <c r="F109" s="130" t="s">
        <v>765</v>
      </c>
    </row>
    <row r="110" spans="1:6" x14ac:dyDescent="0.3">
      <c r="A110" s="125" t="s">
        <v>706</v>
      </c>
      <c r="B110" s="130" t="s">
        <v>765</v>
      </c>
      <c r="C110" s="130" t="s">
        <v>765</v>
      </c>
      <c r="D110" s="132">
        <v>-7000</v>
      </c>
      <c r="E110" s="132">
        <v>-5000</v>
      </c>
      <c r="F110" s="132">
        <v>-3000</v>
      </c>
    </row>
    <row r="111" spans="1:6" x14ac:dyDescent="0.3">
      <c r="A111" s="125" t="s">
        <v>681</v>
      </c>
      <c r="B111" s="132">
        <v>-12000</v>
      </c>
      <c r="C111" s="132">
        <v>-9000</v>
      </c>
      <c r="D111" s="130" t="s">
        <v>765</v>
      </c>
      <c r="E111" s="130" t="s">
        <v>765</v>
      </c>
      <c r="F111" s="130" t="s">
        <v>765</v>
      </c>
    </row>
    <row r="112" spans="1:6" x14ac:dyDescent="0.3">
      <c r="A112" s="125" t="s">
        <v>689</v>
      </c>
      <c r="B112" s="132">
        <v>-1942000</v>
      </c>
      <c r="C112" s="130" t="s">
        <v>765</v>
      </c>
      <c r="D112" s="130" t="s">
        <v>765</v>
      </c>
      <c r="E112" s="130" t="s">
        <v>765</v>
      </c>
      <c r="F112" s="130" t="s">
        <v>765</v>
      </c>
    </row>
    <row r="113" spans="1:6" x14ac:dyDescent="0.3">
      <c r="A113" s="125" t="s">
        <v>691</v>
      </c>
      <c r="B113" s="132">
        <v>-1843000</v>
      </c>
      <c r="C113" s="130" t="s">
        <v>765</v>
      </c>
      <c r="D113" s="130" t="s">
        <v>765</v>
      </c>
      <c r="E113" s="130" t="s">
        <v>765</v>
      </c>
      <c r="F113" s="130" t="s">
        <v>765</v>
      </c>
    </row>
    <row r="114" spans="1:6" x14ac:dyDescent="0.3">
      <c r="A114" s="125" t="s">
        <v>707</v>
      </c>
      <c r="B114" s="130" t="s">
        <v>765</v>
      </c>
      <c r="C114" s="130" t="s">
        <v>765</v>
      </c>
      <c r="D114" s="130" t="s">
        <v>765</v>
      </c>
      <c r="E114" s="130" t="s">
        <v>765</v>
      </c>
      <c r="F114" s="130" t="s">
        <v>765</v>
      </c>
    </row>
    <row r="115" spans="1:6" x14ac:dyDescent="0.3">
      <c r="A115" s="125" t="s">
        <v>766</v>
      </c>
      <c r="B115" s="130" t="s">
        <v>765</v>
      </c>
      <c r="C115" s="130" t="s">
        <v>765</v>
      </c>
      <c r="D115" s="130" t="s">
        <v>765</v>
      </c>
      <c r="E115" s="130" t="s">
        <v>765</v>
      </c>
      <c r="F115" s="130" t="s">
        <v>765</v>
      </c>
    </row>
    <row r="116" spans="1:6" x14ac:dyDescent="0.3">
      <c r="A116" s="125" t="s">
        <v>767</v>
      </c>
      <c r="B116" s="133">
        <v>-4676000</v>
      </c>
      <c r="C116" s="133">
        <v>-5015000</v>
      </c>
      <c r="D116" s="133">
        <v>-5357000</v>
      </c>
      <c r="E116" s="133">
        <v>-8397000</v>
      </c>
      <c r="F116" s="133">
        <v>-8215000</v>
      </c>
    </row>
    <row r="117" spans="1:6" x14ac:dyDescent="0.3">
      <c r="A117" s="125"/>
    </row>
    <row r="118" spans="1:6" x14ac:dyDescent="0.3">
      <c r="A118" s="442" t="s">
        <v>774</v>
      </c>
      <c r="B118" s="442"/>
      <c r="C118" s="442"/>
      <c r="D118" s="442"/>
      <c r="E118" s="442"/>
      <c r="F118" s="442"/>
    </row>
    <row r="119" spans="1:6" x14ac:dyDescent="0.3">
      <c r="A119" s="127" t="s">
        <v>756</v>
      </c>
      <c r="B119" s="128" t="s">
        <v>757</v>
      </c>
      <c r="C119" s="128" t="s">
        <v>758</v>
      </c>
      <c r="D119" s="128" t="s">
        <v>759</v>
      </c>
      <c r="E119" s="128" t="s">
        <v>760</v>
      </c>
      <c r="F119" s="128" t="s">
        <v>761</v>
      </c>
    </row>
    <row r="120" spans="1:6" x14ac:dyDescent="0.3">
      <c r="A120" s="125" t="s">
        <v>762</v>
      </c>
      <c r="B120" s="129">
        <v>44196</v>
      </c>
      <c r="C120" s="129">
        <v>44561</v>
      </c>
      <c r="D120" s="129">
        <v>44926</v>
      </c>
      <c r="E120" s="129">
        <v>45291</v>
      </c>
      <c r="F120" s="129">
        <v>45657</v>
      </c>
    </row>
    <row r="121" spans="1:6" x14ac:dyDescent="0.3">
      <c r="A121" s="125" t="s">
        <v>763</v>
      </c>
      <c r="B121" s="130" t="s">
        <v>378</v>
      </c>
      <c r="C121" s="130" t="s">
        <v>378</v>
      </c>
      <c r="D121" s="130" t="s">
        <v>378</v>
      </c>
      <c r="E121" s="130" t="s">
        <v>378</v>
      </c>
      <c r="F121" s="130" t="s">
        <v>378</v>
      </c>
    </row>
    <row r="122" spans="1:6" x14ac:dyDescent="0.3">
      <c r="A122" s="125" t="s">
        <v>190</v>
      </c>
      <c r="B122" s="125"/>
      <c r="C122" s="125"/>
      <c r="D122" s="125"/>
      <c r="E122" s="125"/>
      <c r="F122" s="125"/>
    </row>
    <row r="123" spans="1:6" x14ac:dyDescent="0.3">
      <c r="A123" s="131" t="s">
        <v>764</v>
      </c>
      <c r="B123" s="125"/>
      <c r="C123" s="125"/>
      <c r="D123" s="125"/>
      <c r="E123" s="125"/>
      <c r="F123" s="125"/>
    </row>
    <row r="124" spans="1:6" x14ac:dyDescent="0.3">
      <c r="A124" s="125" t="s">
        <v>718</v>
      </c>
      <c r="B124" s="132">
        <v>10205000</v>
      </c>
      <c r="C124" s="132">
        <v>11154000</v>
      </c>
      <c r="D124" s="132">
        <v>13015000</v>
      </c>
      <c r="E124" s="132">
        <v>14973000</v>
      </c>
      <c r="F124" s="132">
        <v>11623000</v>
      </c>
    </row>
    <row r="125" spans="1:6" x14ac:dyDescent="0.3">
      <c r="A125" s="125" t="s">
        <v>719</v>
      </c>
      <c r="B125" s="132">
        <v>1165000</v>
      </c>
      <c r="C125" s="132">
        <v>1703000</v>
      </c>
      <c r="D125" s="132">
        <v>1424000</v>
      </c>
      <c r="E125" s="132">
        <v>1747000</v>
      </c>
      <c r="F125" s="132">
        <v>1562000</v>
      </c>
    </row>
    <row r="126" spans="1:6" x14ac:dyDescent="0.3">
      <c r="A126" s="125" t="s">
        <v>721</v>
      </c>
      <c r="B126" s="130" t="s">
        <v>765</v>
      </c>
      <c r="C126" s="130" t="s">
        <v>765</v>
      </c>
      <c r="D126" s="130" t="s">
        <v>765</v>
      </c>
      <c r="E126" s="130" t="s">
        <v>765</v>
      </c>
      <c r="F126" s="130" t="s">
        <v>765</v>
      </c>
    </row>
    <row r="127" spans="1:6" x14ac:dyDescent="0.3">
      <c r="A127" s="125" t="s">
        <v>722</v>
      </c>
      <c r="B127" s="130" t="s">
        <v>765</v>
      </c>
      <c r="C127" s="130" t="s">
        <v>765</v>
      </c>
      <c r="D127" s="130" t="s">
        <v>765</v>
      </c>
      <c r="E127" s="130" t="s">
        <v>765</v>
      </c>
      <c r="F127" s="130" t="s">
        <v>765</v>
      </c>
    </row>
    <row r="128" spans="1:6" x14ac:dyDescent="0.3">
      <c r="A128" s="125" t="s">
        <v>775</v>
      </c>
      <c r="B128" s="133">
        <v>11370000</v>
      </c>
      <c r="C128" s="133">
        <v>12857000</v>
      </c>
      <c r="D128" s="133">
        <v>14439000</v>
      </c>
      <c r="E128" s="133">
        <v>16720000</v>
      </c>
      <c r="F128" s="133">
        <v>13185000</v>
      </c>
    </row>
    <row r="129" spans="1:6" x14ac:dyDescent="0.3">
      <c r="A129" s="125" t="s">
        <v>190</v>
      </c>
      <c r="B129" s="125"/>
      <c r="C129" s="125"/>
      <c r="D129" s="125"/>
      <c r="E129" s="125"/>
      <c r="F129" s="125"/>
    </row>
    <row r="130" spans="1:6" x14ac:dyDescent="0.3">
      <c r="A130" s="131" t="s">
        <v>771</v>
      </c>
      <c r="B130" s="125"/>
      <c r="C130" s="125"/>
      <c r="D130" s="125"/>
      <c r="E130" s="125"/>
      <c r="F130" s="125"/>
    </row>
    <row r="131" spans="1:6" x14ac:dyDescent="0.3">
      <c r="A131" s="125" t="s">
        <v>718</v>
      </c>
      <c r="B131" s="132">
        <v>46902000</v>
      </c>
      <c r="C131" s="132">
        <v>50657000</v>
      </c>
      <c r="D131" s="132">
        <v>55035000</v>
      </c>
      <c r="E131" s="132">
        <v>46935000</v>
      </c>
      <c r="F131" s="132">
        <v>52952000</v>
      </c>
    </row>
    <row r="132" spans="1:6" x14ac:dyDescent="0.3">
      <c r="A132" s="125" t="s">
        <v>719</v>
      </c>
      <c r="B132" s="132">
        <v>6929000</v>
      </c>
      <c r="C132" s="132">
        <v>7708000</v>
      </c>
      <c r="D132" s="132">
        <v>8423000</v>
      </c>
      <c r="E132" s="132">
        <v>8024000</v>
      </c>
      <c r="F132" s="132">
        <v>8485000</v>
      </c>
    </row>
    <row r="133" spans="1:6" x14ac:dyDescent="0.3">
      <c r="A133" s="125" t="s">
        <v>721</v>
      </c>
      <c r="B133" s="130" t="s">
        <v>765</v>
      </c>
      <c r="C133" s="130" t="s">
        <v>765</v>
      </c>
      <c r="D133" s="130" t="s">
        <v>765</v>
      </c>
      <c r="E133" s="132">
        <v>1000</v>
      </c>
      <c r="F133" s="130" t="s">
        <v>765</v>
      </c>
    </row>
    <row r="134" spans="1:6" x14ac:dyDescent="0.3">
      <c r="A134" s="125" t="s">
        <v>722</v>
      </c>
      <c r="B134" s="130" t="s">
        <v>765</v>
      </c>
      <c r="C134" s="132">
        <v>1000</v>
      </c>
      <c r="D134" s="132">
        <v>1000</v>
      </c>
      <c r="E134" s="130" t="s">
        <v>765</v>
      </c>
      <c r="F134" s="130" t="s">
        <v>765</v>
      </c>
    </row>
    <row r="135" spans="1:6" x14ac:dyDescent="0.3">
      <c r="A135" s="125" t="s">
        <v>775</v>
      </c>
      <c r="B135" s="133">
        <v>53831000</v>
      </c>
      <c r="C135" s="133">
        <v>58366000</v>
      </c>
      <c r="D135" s="133">
        <v>63459000</v>
      </c>
      <c r="E135" s="133">
        <v>54960000</v>
      </c>
      <c r="F135" s="133">
        <v>61437000</v>
      </c>
    </row>
    <row r="136" spans="1:6" x14ac:dyDescent="0.3">
      <c r="A136" s="443"/>
      <c r="B136" s="443"/>
      <c r="C136" s="443"/>
      <c r="D136" s="443"/>
      <c r="E136" s="443"/>
      <c r="F136" s="443"/>
    </row>
    <row r="137" spans="1:6" x14ac:dyDescent="0.3">
      <c r="A137" s="126" t="s">
        <v>776</v>
      </c>
    </row>
    <row r="138" spans="1:6" x14ac:dyDescent="0.3">
      <c r="A138" s="442" t="s">
        <v>755</v>
      </c>
      <c r="B138" s="442"/>
      <c r="C138" s="442"/>
      <c r="D138" s="442"/>
      <c r="E138" s="442"/>
      <c r="F138" s="442"/>
    </row>
    <row r="139" spans="1:6" x14ac:dyDescent="0.3">
      <c r="A139" s="127" t="s">
        <v>756</v>
      </c>
      <c r="B139" s="128" t="s">
        <v>757</v>
      </c>
      <c r="C139" s="128" t="s">
        <v>758</v>
      </c>
      <c r="D139" s="128" t="s">
        <v>759</v>
      </c>
      <c r="E139" s="128" t="s">
        <v>760</v>
      </c>
      <c r="F139" s="128" t="s">
        <v>761</v>
      </c>
    </row>
    <row r="140" spans="1:6" x14ac:dyDescent="0.3">
      <c r="A140" s="125" t="s">
        <v>762</v>
      </c>
      <c r="B140" s="129">
        <v>44196</v>
      </c>
      <c r="C140" s="129">
        <v>44561</v>
      </c>
      <c r="D140" s="129">
        <v>44926</v>
      </c>
      <c r="E140" s="129">
        <v>45291</v>
      </c>
      <c r="F140" s="129">
        <v>45657</v>
      </c>
    </row>
    <row r="141" spans="1:6" x14ac:dyDescent="0.3">
      <c r="A141" s="125" t="s">
        <v>763</v>
      </c>
      <c r="B141" s="130" t="s">
        <v>378</v>
      </c>
      <c r="C141" s="130" t="s">
        <v>378</v>
      </c>
      <c r="D141" s="130" t="s">
        <v>378</v>
      </c>
      <c r="E141" s="130" t="s">
        <v>378</v>
      </c>
      <c r="F141" s="130" t="s">
        <v>378</v>
      </c>
    </row>
    <row r="142" spans="1:6" x14ac:dyDescent="0.3">
      <c r="A142" s="125" t="s">
        <v>190</v>
      </c>
      <c r="B142" s="125"/>
      <c r="C142" s="125"/>
      <c r="D142" s="125"/>
      <c r="E142" s="125"/>
      <c r="F142" s="125"/>
    </row>
    <row r="143" spans="1:6" x14ac:dyDescent="0.3">
      <c r="A143" s="131" t="s">
        <v>676</v>
      </c>
      <c r="B143" s="125"/>
      <c r="C143" s="125"/>
      <c r="D143" s="125"/>
      <c r="E143" s="125"/>
      <c r="F143" s="125"/>
    </row>
    <row r="144" spans="1:6" x14ac:dyDescent="0.3">
      <c r="A144" s="131" t="s">
        <v>764</v>
      </c>
      <c r="B144" s="133">
        <v>1400000</v>
      </c>
      <c r="C144" s="133">
        <v>1997000</v>
      </c>
      <c r="D144" s="133">
        <v>1919000</v>
      </c>
      <c r="E144" s="133">
        <v>3071000</v>
      </c>
      <c r="F144" s="133">
        <v>1882000</v>
      </c>
    </row>
    <row r="145" spans="1:6" x14ac:dyDescent="0.3">
      <c r="A145" s="131" t="s">
        <v>768</v>
      </c>
      <c r="B145" s="133">
        <v>-174000</v>
      </c>
      <c r="C145" s="133">
        <v>-205000</v>
      </c>
      <c r="D145" s="133">
        <v>-104000</v>
      </c>
      <c r="E145" s="133">
        <v>-129000</v>
      </c>
      <c r="F145" s="133">
        <v>243000</v>
      </c>
    </row>
    <row r="146" spans="1:6" x14ac:dyDescent="0.3">
      <c r="A146" s="131" t="s">
        <v>769</v>
      </c>
      <c r="B146" s="133">
        <v>149000</v>
      </c>
      <c r="C146" s="133">
        <v>238000</v>
      </c>
      <c r="D146" s="133">
        <v>249000</v>
      </c>
      <c r="E146" s="133">
        <v>673000</v>
      </c>
      <c r="F146" s="133">
        <v>-164000</v>
      </c>
    </row>
    <row r="147" spans="1:6" x14ac:dyDescent="0.3">
      <c r="A147" s="131" t="s">
        <v>770</v>
      </c>
      <c r="B147" s="133">
        <v>580000</v>
      </c>
      <c r="C147" s="133">
        <v>682000</v>
      </c>
      <c r="D147" s="133">
        <v>310000</v>
      </c>
      <c r="E147" s="133">
        <v>877000</v>
      </c>
      <c r="F147" s="133">
        <v>911000</v>
      </c>
    </row>
    <row r="148" spans="1:6" x14ac:dyDescent="0.3">
      <c r="A148" s="131" t="s">
        <v>771</v>
      </c>
      <c r="B148" s="134" t="s">
        <v>765</v>
      </c>
      <c r="C148" s="133">
        <v>14408000</v>
      </c>
      <c r="D148" s="133">
        <v>15760000</v>
      </c>
      <c r="E148" s="133">
        <v>19430000</v>
      </c>
      <c r="F148" s="133">
        <v>22954000</v>
      </c>
    </row>
    <row r="149" spans="1:6" x14ac:dyDescent="0.3">
      <c r="A149" s="131" t="s">
        <v>772</v>
      </c>
      <c r="B149" s="133">
        <v>198000</v>
      </c>
      <c r="C149" s="133">
        <v>239000</v>
      </c>
      <c r="D149" s="133">
        <v>268000</v>
      </c>
      <c r="E149" s="133">
        <v>281000</v>
      </c>
      <c r="F149" s="133">
        <v>297000</v>
      </c>
    </row>
    <row r="150" spans="1:6" x14ac:dyDescent="0.3">
      <c r="A150" s="131" t="s">
        <v>773</v>
      </c>
      <c r="B150" s="133">
        <v>-879000</v>
      </c>
      <c r="C150" s="133">
        <v>-802000</v>
      </c>
      <c r="D150" s="133">
        <v>-884000</v>
      </c>
      <c r="E150" s="133">
        <v>-3832000</v>
      </c>
      <c r="F150" s="133">
        <v>-3459000</v>
      </c>
    </row>
    <row r="151" spans="1:6" x14ac:dyDescent="0.3">
      <c r="A151" s="125" t="s">
        <v>190</v>
      </c>
      <c r="B151" s="125"/>
      <c r="C151" s="125"/>
      <c r="D151" s="125"/>
      <c r="E151" s="125"/>
      <c r="F151" s="125"/>
    </row>
    <row r="152" spans="1:6" x14ac:dyDescent="0.3">
      <c r="A152" s="131" t="s">
        <v>679</v>
      </c>
      <c r="B152" s="125"/>
      <c r="C152" s="125"/>
      <c r="D152" s="125"/>
      <c r="E152" s="125"/>
      <c r="F152" s="125"/>
    </row>
    <row r="153" spans="1:6" x14ac:dyDescent="0.3">
      <c r="A153" s="131" t="s">
        <v>764</v>
      </c>
      <c r="B153" s="133">
        <v>-3000</v>
      </c>
      <c r="C153" s="134" t="s">
        <v>765</v>
      </c>
      <c r="D153" s="134" t="s">
        <v>765</v>
      </c>
      <c r="E153" s="134" t="s">
        <v>765</v>
      </c>
      <c r="F153" s="134" t="s">
        <v>765</v>
      </c>
    </row>
    <row r="154" spans="1:6" x14ac:dyDescent="0.3">
      <c r="A154" s="131" t="s">
        <v>768</v>
      </c>
      <c r="B154" s="134" t="s">
        <v>765</v>
      </c>
      <c r="C154" s="134" t="s">
        <v>765</v>
      </c>
      <c r="D154" s="134" t="s">
        <v>765</v>
      </c>
      <c r="E154" s="134" t="s">
        <v>765</v>
      </c>
      <c r="F154" s="134" t="s">
        <v>765</v>
      </c>
    </row>
    <row r="155" spans="1:6" x14ac:dyDescent="0.3">
      <c r="A155" s="131" t="s">
        <v>769</v>
      </c>
      <c r="B155" s="134" t="s">
        <v>765</v>
      </c>
      <c r="C155" s="134" t="s">
        <v>765</v>
      </c>
      <c r="D155" s="134" t="s">
        <v>765</v>
      </c>
      <c r="E155" s="134" t="s">
        <v>765</v>
      </c>
      <c r="F155" s="134" t="s">
        <v>765</v>
      </c>
    </row>
    <row r="156" spans="1:6" x14ac:dyDescent="0.3">
      <c r="A156" s="131" t="s">
        <v>770</v>
      </c>
      <c r="B156" s="134" t="s">
        <v>765</v>
      </c>
      <c r="C156" s="134" t="s">
        <v>765</v>
      </c>
      <c r="D156" s="134" t="s">
        <v>765</v>
      </c>
      <c r="E156" s="134" t="s">
        <v>765</v>
      </c>
      <c r="F156" s="134" t="s">
        <v>765</v>
      </c>
    </row>
    <row r="157" spans="1:6" x14ac:dyDescent="0.3">
      <c r="A157" s="131" t="s">
        <v>771</v>
      </c>
      <c r="B157" s="134" t="s">
        <v>765</v>
      </c>
      <c r="C157" s="134" t="s">
        <v>765</v>
      </c>
      <c r="D157" s="134" t="s">
        <v>765</v>
      </c>
      <c r="E157" s="134" t="s">
        <v>765</v>
      </c>
      <c r="F157" s="134" t="s">
        <v>765</v>
      </c>
    </row>
    <row r="158" spans="1:6" x14ac:dyDescent="0.3">
      <c r="A158" s="131" t="s">
        <v>772</v>
      </c>
      <c r="B158" s="134" t="s">
        <v>765</v>
      </c>
      <c r="C158" s="134" t="s">
        <v>765</v>
      </c>
      <c r="D158" s="134" t="s">
        <v>765</v>
      </c>
      <c r="E158" s="134" t="s">
        <v>765</v>
      </c>
      <c r="F158" s="134" t="s">
        <v>765</v>
      </c>
    </row>
    <row r="159" spans="1:6" x14ac:dyDescent="0.3">
      <c r="A159" s="131" t="s">
        <v>773</v>
      </c>
      <c r="B159" s="134" t="s">
        <v>765</v>
      </c>
      <c r="C159" s="134" t="s">
        <v>765</v>
      </c>
      <c r="D159" s="134" t="s">
        <v>765</v>
      </c>
      <c r="E159" s="134" t="s">
        <v>765</v>
      </c>
      <c r="F159" s="134" t="s">
        <v>765</v>
      </c>
    </row>
    <row r="160" spans="1:6" x14ac:dyDescent="0.3">
      <c r="A160" s="125" t="s">
        <v>190</v>
      </c>
      <c r="B160" s="125"/>
      <c r="C160" s="125"/>
      <c r="D160" s="125"/>
      <c r="E160" s="125"/>
      <c r="F160" s="125"/>
    </row>
    <row r="161" spans="1:6" x14ac:dyDescent="0.3">
      <c r="A161" s="131" t="s">
        <v>680</v>
      </c>
      <c r="B161" s="125"/>
      <c r="C161" s="125"/>
      <c r="D161" s="125"/>
      <c r="E161" s="125"/>
      <c r="F161" s="125"/>
    </row>
    <row r="162" spans="1:6" x14ac:dyDescent="0.3">
      <c r="A162" s="131" t="s">
        <v>764</v>
      </c>
      <c r="B162" s="133">
        <v>-90000</v>
      </c>
      <c r="C162" s="133">
        <v>-71000</v>
      </c>
      <c r="D162" s="133">
        <v>-57000</v>
      </c>
      <c r="E162" s="133">
        <v>-112000</v>
      </c>
      <c r="F162" s="133">
        <v>-79000</v>
      </c>
    </row>
    <row r="163" spans="1:6" x14ac:dyDescent="0.3">
      <c r="A163" s="131" t="s">
        <v>768</v>
      </c>
      <c r="B163" s="133">
        <v>54000</v>
      </c>
      <c r="C163" s="133">
        <v>20000</v>
      </c>
      <c r="D163" s="134" t="s">
        <v>765</v>
      </c>
      <c r="E163" s="134" t="s">
        <v>765</v>
      </c>
      <c r="F163" s="134" t="s">
        <v>765</v>
      </c>
    </row>
    <row r="164" spans="1:6" x14ac:dyDescent="0.3">
      <c r="A164" s="131" t="s">
        <v>769</v>
      </c>
      <c r="B164" s="134" t="s">
        <v>765</v>
      </c>
      <c r="C164" s="134" t="s">
        <v>765</v>
      </c>
      <c r="D164" s="134" t="s">
        <v>765</v>
      </c>
      <c r="E164" s="134" t="s">
        <v>765</v>
      </c>
      <c r="F164" s="134" t="s">
        <v>765</v>
      </c>
    </row>
    <row r="165" spans="1:6" x14ac:dyDescent="0.3">
      <c r="A165" s="131" t="s">
        <v>770</v>
      </c>
      <c r="B165" s="134" t="s">
        <v>765</v>
      </c>
      <c r="C165" s="134" t="s">
        <v>765</v>
      </c>
      <c r="D165" s="134" t="s">
        <v>765</v>
      </c>
      <c r="E165" s="134" t="s">
        <v>765</v>
      </c>
      <c r="F165" s="134" t="s">
        <v>765</v>
      </c>
    </row>
    <row r="166" spans="1:6" x14ac:dyDescent="0.3">
      <c r="A166" s="131" t="s">
        <v>771</v>
      </c>
      <c r="B166" s="134" t="s">
        <v>765</v>
      </c>
      <c r="C166" s="133">
        <v>-1191000</v>
      </c>
      <c r="D166" s="133">
        <v>-1039000</v>
      </c>
      <c r="E166" s="133">
        <v>-1038000</v>
      </c>
      <c r="F166" s="133">
        <v>-1071000</v>
      </c>
    </row>
    <row r="167" spans="1:6" x14ac:dyDescent="0.3">
      <c r="A167" s="131" t="s">
        <v>772</v>
      </c>
      <c r="B167" s="134" t="s">
        <v>765</v>
      </c>
      <c r="C167" s="134" t="s">
        <v>765</v>
      </c>
      <c r="D167" s="134" t="s">
        <v>765</v>
      </c>
      <c r="E167" s="134" t="s">
        <v>765</v>
      </c>
      <c r="F167" s="134" t="s">
        <v>765</v>
      </c>
    </row>
    <row r="168" spans="1:6" x14ac:dyDescent="0.3">
      <c r="A168" s="131" t="s">
        <v>773</v>
      </c>
      <c r="B168" s="134" t="s">
        <v>765</v>
      </c>
      <c r="C168" s="134" t="s">
        <v>765</v>
      </c>
      <c r="D168" s="134" t="s">
        <v>765</v>
      </c>
      <c r="E168" s="134" t="s">
        <v>765</v>
      </c>
      <c r="F168" s="134" t="s">
        <v>765</v>
      </c>
    </row>
    <row r="169" spans="1:6" x14ac:dyDescent="0.3">
      <c r="A169" s="125" t="s">
        <v>190</v>
      </c>
      <c r="B169" s="125"/>
      <c r="C169" s="125"/>
      <c r="D169" s="125"/>
      <c r="E169" s="125"/>
      <c r="F169" s="125"/>
    </row>
    <row r="170" spans="1:6" x14ac:dyDescent="0.3">
      <c r="A170" s="131" t="s">
        <v>703</v>
      </c>
      <c r="B170" s="125"/>
      <c r="C170" s="125"/>
      <c r="D170" s="125"/>
      <c r="E170" s="125"/>
      <c r="F170" s="125"/>
    </row>
    <row r="171" spans="1:6" x14ac:dyDescent="0.3">
      <c r="A171" s="131" t="s">
        <v>764</v>
      </c>
      <c r="B171" s="134" t="s">
        <v>765</v>
      </c>
      <c r="C171" s="134" t="s">
        <v>765</v>
      </c>
      <c r="D171" s="134" t="s">
        <v>765</v>
      </c>
      <c r="E171" s="134" t="s">
        <v>765</v>
      </c>
      <c r="F171" s="134" t="s">
        <v>765</v>
      </c>
    </row>
    <row r="172" spans="1:6" x14ac:dyDescent="0.3">
      <c r="A172" s="131" t="s">
        <v>768</v>
      </c>
      <c r="B172" s="134" t="s">
        <v>765</v>
      </c>
      <c r="C172" s="134" t="s">
        <v>765</v>
      </c>
      <c r="D172" s="134" t="s">
        <v>765</v>
      </c>
      <c r="E172" s="134" t="s">
        <v>765</v>
      </c>
      <c r="F172" s="134" t="s">
        <v>765</v>
      </c>
    </row>
    <row r="173" spans="1:6" x14ac:dyDescent="0.3">
      <c r="A173" s="131" t="s">
        <v>769</v>
      </c>
      <c r="B173" s="133">
        <v>1000</v>
      </c>
      <c r="C173" s="134" t="s">
        <v>765</v>
      </c>
      <c r="D173" s="134" t="s">
        <v>765</v>
      </c>
      <c r="E173" s="134" t="s">
        <v>765</v>
      </c>
      <c r="F173" s="134" t="s">
        <v>765</v>
      </c>
    </row>
    <row r="174" spans="1:6" x14ac:dyDescent="0.3">
      <c r="A174" s="131" t="s">
        <v>770</v>
      </c>
      <c r="B174" s="133">
        <v>579000</v>
      </c>
      <c r="C174" s="133">
        <v>616000</v>
      </c>
      <c r="D174" s="133">
        <v>736000</v>
      </c>
      <c r="E174" s="133">
        <v>694000</v>
      </c>
      <c r="F174" s="133">
        <v>781000</v>
      </c>
    </row>
    <row r="175" spans="1:6" x14ac:dyDescent="0.3">
      <c r="A175" s="131" t="s">
        <v>771</v>
      </c>
      <c r="B175" s="134" t="s">
        <v>765</v>
      </c>
      <c r="C175" s="133">
        <v>13047000</v>
      </c>
      <c r="D175" s="133">
        <v>13781000</v>
      </c>
      <c r="E175" s="133">
        <v>14392000</v>
      </c>
      <c r="F175" s="133">
        <v>15534000</v>
      </c>
    </row>
    <row r="176" spans="1:6" x14ac:dyDescent="0.3">
      <c r="A176" s="131" t="s">
        <v>772</v>
      </c>
      <c r="B176" s="134" t="s">
        <v>765</v>
      </c>
      <c r="C176" s="134" t="s">
        <v>765</v>
      </c>
      <c r="D176" s="134" t="s">
        <v>765</v>
      </c>
      <c r="E176" s="134" t="s">
        <v>765</v>
      </c>
      <c r="F176" s="134" t="s">
        <v>765</v>
      </c>
    </row>
    <row r="177" spans="1:6" x14ac:dyDescent="0.3">
      <c r="A177" s="131" t="s">
        <v>773</v>
      </c>
      <c r="B177" s="134" t="s">
        <v>765</v>
      </c>
      <c r="C177" s="134" t="s">
        <v>765</v>
      </c>
      <c r="D177" s="134" t="s">
        <v>765</v>
      </c>
      <c r="E177" s="134" t="s">
        <v>765</v>
      </c>
      <c r="F177" s="134" t="s">
        <v>765</v>
      </c>
    </row>
    <row r="178" spans="1:6" x14ac:dyDescent="0.3">
      <c r="A178" s="125" t="s">
        <v>190</v>
      </c>
      <c r="B178" s="125"/>
      <c r="C178" s="125"/>
      <c r="D178" s="125"/>
      <c r="E178" s="125"/>
      <c r="F178" s="125"/>
    </row>
    <row r="179" spans="1:6" x14ac:dyDescent="0.3">
      <c r="A179" s="131" t="s">
        <v>681</v>
      </c>
      <c r="B179" s="125"/>
      <c r="C179" s="125"/>
      <c r="D179" s="125"/>
      <c r="E179" s="125"/>
      <c r="F179" s="125"/>
    </row>
    <row r="180" spans="1:6" x14ac:dyDescent="0.3">
      <c r="A180" s="131" t="s">
        <v>764</v>
      </c>
      <c r="B180" s="133">
        <v>2000</v>
      </c>
      <c r="C180" s="133">
        <v>5000</v>
      </c>
      <c r="D180" s="134" t="s">
        <v>765</v>
      </c>
      <c r="E180" s="134" t="s">
        <v>765</v>
      </c>
      <c r="F180" s="134" t="s">
        <v>765</v>
      </c>
    </row>
    <row r="181" spans="1:6" x14ac:dyDescent="0.3">
      <c r="A181" s="131" t="s">
        <v>768</v>
      </c>
      <c r="B181" s="133">
        <v>-390000</v>
      </c>
      <c r="C181" s="133">
        <v>-444000</v>
      </c>
      <c r="D181" s="134" t="s">
        <v>765</v>
      </c>
      <c r="E181" s="134" t="s">
        <v>765</v>
      </c>
      <c r="F181" s="134" t="s">
        <v>765</v>
      </c>
    </row>
    <row r="182" spans="1:6" x14ac:dyDescent="0.3">
      <c r="A182" s="131" t="s">
        <v>769</v>
      </c>
      <c r="B182" s="133">
        <v>-187000</v>
      </c>
      <c r="C182" s="133">
        <v>-30000</v>
      </c>
      <c r="D182" s="134" t="s">
        <v>765</v>
      </c>
      <c r="E182" s="134" t="s">
        <v>765</v>
      </c>
      <c r="F182" s="134" t="s">
        <v>765</v>
      </c>
    </row>
    <row r="183" spans="1:6" x14ac:dyDescent="0.3">
      <c r="A183" s="131" t="s">
        <v>770</v>
      </c>
      <c r="B183" s="133">
        <v>-563000</v>
      </c>
      <c r="C183" s="133">
        <v>-436000</v>
      </c>
      <c r="D183" s="134" t="s">
        <v>765</v>
      </c>
      <c r="E183" s="134" t="s">
        <v>765</v>
      </c>
      <c r="F183" s="134" t="s">
        <v>765</v>
      </c>
    </row>
    <row r="184" spans="1:6" x14ac:dyDescent="0.3">
      <c r="A184" s="131" t="s">
        <v>771</v>
      </c>
      <c r="B184" s="134" t="s">
        <v>765</v>
      </c>
      <c r="C184" s="133">
        <v>1399000</v>
      </c>
      <c r="D184" s="133">
        <v>1376000</v>
      </c>
      <c r="E184" s="134" t="s">
        <v>765</v>
      </c>
      <c r="F184" s="134" t="s">
        <v>765</v>
      </c>
    </row>
    <row r="185" spans="1:6" x14ac:dyDescent="0.3">
      <c r="A185" s="131" t="s">
        <v>772</v>
      </c>
      <c r="B185" s="133">
        <v>13000</v>
      </c>
      <c r="C185" s="133">
        <v>11000</v>
      </c>
      <c r="D185" s="134" t="s">
        <v>765</v>
      </c>
      <c r="E185" s="134" t="s">
        <v>765</v>
      </c>
      <c r="F185" s="134" t="s">
        <v>765</v>
      </c>
    </row>
    <row r="186" spans="1:6" x14ac:dyDescent="0.3">
      <c r="A186" s="131" t="s">
        <v>773</v>
      </c>
      <c r="B186" s="133">
        <v>-12000</v>
      </c>
      <c r="C186" s="133">
        <v>-9000</v>
      </c>
      <c r="D186" s="134" t="s">
        <v>765</v>
      </c>
      <c r="E186" s="134" t="s">
        <v>765</v>
      </c>
      <c r="F186" s="134" t="s">
        <v>765</v>
      </c>
    </row>
    <row r="187" spans="1:6" x14ac:dyDescent="0.3">
      <c r="A187" s="125" t="s">
        <v>190</v>
      </c>
      <c r="B187" s="125"/>
      <c r="C187" s="125"/>
      <c r="D187" s="125"/>
      <c r="E187" s="125"/>
      <c r="F187" s="125"/>
    </row>
    <row r="188" spans="1:6" x14ac:dyDescent="0.3">
      <c r="A188" s="131" t="s">
        <v>689</v>
      </c>
      <c r="B188" s="125"/>
      <c r="C188" s="125"/>
      <c r="D188" s="125"/>
      <c r="E188" s="125"/>
      <c r="F188" s="125"/>
    </row>
    <row r="189" spans="1:6" x14ac:dyDescent="0.3">
      <c r="A189" s="131" t="s">
        <v>764</v>
      </c>
      <c r="B189" s="133">
        <v>5313000</v>
      </c>
      <c r="C189" s="134" t="s">
        <v>765</v>
      </c>
      <c r="D189" s="134" t="s">
        <v>765</v>
      </c>
      <c r="E189" s="134" t="s">
        <v>765</v>
      </c>
      <c r="F189" s="134" t="s">
        <v>765</v>
      </c>
    </row>
    <row r="190" spans="1:6" x14ac:dyDescent="0.3">
      <c r="A190" s="131" t="s">
        <v>768</v>
      </c>
      <c r="B190" s="133">
        <v>-413000</v>
      </c>
      <c r="C190" s="134" t="s">
        <v>765</v>
      </c>
      <c r="D190" s="134" t="s">
        <v>765</v>
      </c>
      <c r="E190" s="134" t="s">
        <v>765</v>
      </c>
      <c r="F190" s="134" t="s">
        <v>765</v>
      </c>
    </row>
    <row r="191" spans="1:6" x14ac:dyDescent="0.3">
      <c r="A191" s="131" t="s">
        <v>769</v>
      </c>
      <c r="B191" s="133">
        <v>190000</v>
      </c>
      <c r="C191" s="134" t="s">
        <v>765</v>
      </c>
      <c r="D191" s="134" t="s">
        <v>765</v>
      </c>
      <c r="E191" s="134" t="s">
        <v>765</v>
      </c>
      <c r="F191" s="134" t="s">
        <v>765</v>
      </c>
    </row>
    <row r="192" spans="1:6" x14ac:dyDescent="0.3">
      <c r="A192" s="131" t="s">
        <v>770</v>
      </c>
      <c r="B192" s="133">
        <v>824000</v>
      </c>
      <c r="C192" s="134" t="s">
        <v>765</v>
      </c>
      <c r="D192" s="134" t="s">
        <v>765</v>
      </c>
      <c r="E192" s="134" t="s">
        <v>765</v>
      </c>
      <c r="F192" s="134" t="s">
        <v>765</v>
      </c>
    </row>
    <row r="193" spans="1:6" x14ac:dyDescent="0.3">
      <c r="A193" s="131" t="s">
        <v>771</v>
      </c>
      <c r="B193" s="134" t="s">
        <v>765</v>
      </c>
      <c r="C193" s="133">
        <v>24058000</v>
      </c>
      <c r="D193" s="134" t="s">
        <v>765</v>
      </c>
      <c r="E193" s="134" t="s">
        <v>765</v>
      </c>
      <c r="F193" s="134" t="s">
        <v>765</v>
      </c>
    </row>
    <row r="194" spans="1:6" x14ac:dyDescent="0.3">
      <c r="A194" s="131" t="s">
        <v>772</v>
      </c>
      <c r="B194" s="133">
        <v>801000</v>
      </c>
      <c r="C194" s="134" t="s">
        <v>765</v>
      </c>
      <c r="D194" s="134" t="s">
        <v>765</v>
      </c>
      <c r="E194" s="134" t="s">
        <v>765</v>
      </c>
      <c r="F194" s="134" t="s">
        <v>765</v>
      </c>
    </row>
    <row r="195" spans="1:6" x14ac:dyDescent="0.3">
      <c r="A195" s="131" t="s">
        <v>773</v>
      </c>
      <c r="B195" s="133">
        <v>-1942000</v>
      </c>
      <c r="C195" s="134" t="s">
        <v>765</v>
      </c>
      <c r="D195" s="134" t="s">
        <v>765</v>
      </c>
      <c r="E195" s="134" t="s">
        <v>765</v>
      </c>
      <c r="F195" s="134" t="s">
        <v>765</v>
      </c>
    </row>
    <row r="196" spans="1:6" x14ac:dyDescent="0.3">
      <c r="A196" s="125" t="s">
        <v>190</v>
      </c>
      <c r="B196" s="125"/>
      <c r="C196" s="125"/>
      <c r="D196" s="125"/>
      <c r="E196" s="125"/>
      <c r="F196" s="125"/>
    </row>
    <row r="197" spans="1:6" x14ac:dyDescent="0.3">
      <c r="A197" s="131" t="s">
        <v>691</v>
      </c>
      <c r="B197" s="125"/>
      <c r="C197" s="125"/>
      <c r="D197" s="125"/>
      <c r="E197" s="125"/>
      <c r="F197" s="125"/>
    </row>
    <row r="198" spans="1:6" x14ac:dyDescent="0.3">
      <c r="A198" s="131" t="s">
        <v>764</v>
      </c>
      <c r="B198" s="133">
        <v>4748000</v>
      </c>
      <c r="C198" s="134" t="s">
        <v>765</v>
      </c>
      <c r="D198" s="134" t="s">
        <v>765</v>
      </c>
      <c r="E198" s="134" t="s">
        <v>765</v>
      </c>
      <c r="F198" s="134" t="s">
        <v>765</v>
      </c>
    </row>
    <row r="199" spans="1:6" x14ac:dyDescent="0.3">
      <c r="A199" s="131" t="s">
        <v>768</v>
      </c>
      <c r="B199" s="133">
        <v>-158000</v>
      </c>
      <c r="C199" s="134" t="s">
        <v>765</v>
      </c>
      <c r="D199" s="134" t="s">
        <v>765</v>
      </c>
      <c r="E199" s="134" t="s">
        <v>765</v>
      </c>
      <c r="F199" s="134" t="s">
        <v>765</v>
      </c>
    </row>
    <row r="200" spans="1:6" x14ac:dyDescent="0.3">
      <c r="A200" s="131" t="s">
        <v>769</v>
      </c>
      <c r="B200" s="133">
        <v>96000</v>
      </c>
      <c r="C200" s="134" t="s">
        <v>765</v>
      </c>
      <c r="D200" s="134" t="s">
        <v>765</v>
      </c>
      <c r="E200" s="134" t="s">
        <v>765</v>
      </c>
      <c r="F200" s="134" t="s">
        <v>765</v>
      </c>
    </row>
    <row r="201" spans="1:6" x14ac:dyDescent="0.3">
      <c r="A201" s="131" t="s">
        <v>770</v>
      </c>
      <c r="B201" s="133">
        <v>504000</v>
      </c>
      <c r="C201" s="134" t="s">
        <v>765</v>
      </c>
      <c r="D201" s="134" t="s">
        <v>765</v>
      </c>
      <c r="E201" s="134" t="s">
        <v>765</v>
      </c>
      <c r="F201" s="134" t="s">
        <v>765</v>
      </c>
    </row>
    <row r="202" spans="1:6" x14ac:dyDescent="0.3">
      <c r="A202" s="131" t="s">
        <v>771</v>
      </c>
      <c r="B202" s="134" t="s">
        <v>765</v>
      </c>
      <c r="C202" s="133">
        <v>20324000</v>
      </c>
      <c r="D202" s="134" t="s">
        <v>765</v>
      </c>
      <c r="E202" s="134" t="s">
        <v>765</v>
      </c>
      <c r="F202" s="134" t="s">
        <v>765</v>
      </c>
    </row>
    <row r="203" spans="1:6" x14ac:dyDescent="0.3">
      <c r="A203" s="131" t="s">
        <v>772</v>
      </c>
      <c r="B203" s="133">
        <v>654000</v>
      </c>
      <c r="C203" s="134" t="s">
        <v>765</v>
      </c>
      <c r="D203" s="134" t="s">
        <v>765</v>
      </c>
      <c r="E203" s="134" t="s">
        <v>765</v>
      </c>
      <c r="F203" s="134" t="s">
        <v>765</v>
      </c>
    </row>
    <row r="204" spans="1:6" x14ac:dyDescent="0.3">
      <c r="A204" s="131" t="s">
        <v>773</v>
      </c>
      <c r="B204" s="133">
        <v>-1843000</v>
      </c>
      <c r="C204" s="134" t="s">
        <v>765</v>
      </c>
      <c r="D204" s="134" t="s">
        <v>765</v>
      </c>
      <c r="E204" s="134" t="s">
        <v>765</v>
      </c>
      <c r="F204" s="134" t="s">
        <v>765</v>
      </c>
    </row>
    <row r="205" spans="1:6" x14ac:dyDescent="0.3">
      <c r="A205" s="125" t="s">
        <v>190</v>
      </c>
      <c r="B205" s="125"/>
      <c r="C205" s="125"/>
      <c r="D205" s="125"/>
      <c r="E205" s="125"/>
      <c r="F205" s="125"/>
    </row>
    <row r="206" spans="1:6" x14ac:dyDescent="0.3">
      <c r="A206" s="131" t="s">
        <v>707</v>
      </c>
      <c r="B206" s="125"/>
      <c r="C206" s="125"/>
      <c r="D206" s="125"/>
      <c r="E206" s="125"/>
      <c r="F206" s="125"/>
    </row>
    <row r="207" spans="1:6" x14ac:dyDescent="0.3">
      <c r="A207" s="131" t="s">
        <v>764</v>
      </c>
      <c r="B207" s="134" t="s">
        <v>765</v>
      </c>
      <c r="C207" s="134" t="s">
        <v>765</v>
      </c>
      <c r="D207" s="134" t="s">
        <v>765</v>
      </c>
      <c r="E207" s="134" t="s">
        <v>765</v>
      </c>
      <c r="F207" s="134" t="s">
        <v>765</v>
      </c>
    </row>
    <row r="208" spans="1:6" x14ac:dyDescent="0.3">
      <c r="A208" s="131" t="s">
        <v>768</v>
      </c>
      <c r="B208" s="134" t="s">
        <v>765</v>
      </c>
      <c r="C208" s="134" t="s">
        <v>765</v>
      </c>
      <c r="D208" s="134" t="s">
        <v>765</v>
      </c>
      <c r="E208" s="134" t="s">
        <v>765</v>
      </c>
      <c r="F208" s="134" t="s">
        <v>765</v>
      </c>
    </row>
    <row r="209" spans="1:6" x14ac:dyDescent="0.3">
      <c r="A209" s="131" t="s">
        <v>769</v>
      </c>
      <c r="B209" s="134" t="s">
        <v>765</v>
      </c>
      <c r="C209" s="134" t="s">
        <v>765</v>
      </c>
      <c r="D209" s="134" t="s">
        <v>765</v>
      </c>
      <c r="E209" s="134" t="s">
        <v>765</v>
      </c>
      <c r="F209" s="134" t="s">
        <v>765</v>
      </c>
    </row>
    <row r="210" spans="1:6" x14ac:dyDescent="0.3">
      <c r="A210" s="131" t="s">
        <v>770</v>
      </c>
      <c r="B210" s="133">
        <v>1840000</v>
      </c>
      <c r="C210" s="134" t="s">
        <v>765</v>
      </c>
      <c r="D210" s="134" t="s">
        <v>765</v>
      </c>
      <c r="E210" s="134" t="s">
        <v>765</v>
      </c>
      <c r="F210" s="134" t="s">
        <v>765</v>
      </c>
    </row>
    <row r="211" spans="1:6" x14ac:dyDescent="0.3">
      <c r="A211" s="131" t="s">
        <v>771</v>
      </c>
      <c r="B211" s="134" t="s">
        <v>765</v>
      </c>
      <c r="C211" s="134" t="s">
        <v>765</v>
      </c>
      <c r="D211" s="134" t="s">
        <v>765</v>
      </c>
      <c r="E211" s="134" t="s">
        <v>765</v>
      </c>
      <c r="F211" s="134" t="s">
        <v>765</v>
      </c>
    </row>
    <row r="212" spans="1:6" x14ac:dyDescent="0.3">
      <c r="A212" s="131" t="s">
        <v>772</v>
      </c>
      <c r="B212" s="134" t="s">
        <v>765</v>
      </c>
      <c r="C212" s="134" t="s">
        <v>765</v>
      </c>
      <c r="D212" s="134" t="s">
        <v>765</v>
      </c>
      <c r="E212" s="134" t="s">
        <v>765</v>
      </c>
      <c r="F212" s="134" t="s">
        <v>765</v>
      </c>
    </row>
    <row r="213" spans="1:6" x14ac:dyDescent="0.3">
      <c r="A213" s="131" t="s">
        <v>773</v>
      </c>
      <c r="B213" s="134" t="s">
        <v>765</v>
      </c>
      <c r="C213" s="134" t="s">
        <v>765</v>
      </c>
      <c r="D213" s="134" t="s">
        <v>765</v>
      </c>
      <c r="E213" s="134" t="s">
        <v>765</v>
      </c>
      <c r="F213" s="134" t="s">
        <v>765</v>
      </c>
    </row>
    <row r="214" spans="1:6" x14ac:dyDescent="0.3">
      <c r="A214" s="125" t="s">
        <v>190</v>
      </c>
      <c r="B214" s="125"/>
      <c r="C214" s="125"/>
      <c r="D214" s="125"/>
      <c r="E214" s="125"/>
      <c r="F214" s="125"/>
    </row>
    <row r="215" spans="1:6" x14ac:dyDescent="0.3">
      <c r="A215" s="131" t="s">
        <v>678</v>
      </c>
      <c r="B215" s="125"/>
      <c r="C215" s="125"/>
      <c r="D215" s="125"/>
      <c r="E215" s="125"/>
      <c r="F215" s="125"/>
    </row>
    <row r="216" spans="1:6" x14ac:dyDescent="0.3">
      <c r="A216" s="131" t="s">
        <v>764</v>
      </c>
      <c r="B216" s="134" t="s">
        <v>765</v>
      </c>
      <c r="C216" s="133">
        <v>10926000</v>
      </c>
      <c r="D216" s="133">
        <v>12577000</v>
      </c>
      <c r="E216" s="133">
        <v>13761000</v>
      </c>
      <c r="F216" s="133">
        <v>11382000</v>
      </c>
    </row>
    <row r="217" spans="1:6" x14ac:dyDescent="0.3">
      <c r="A217" s="131" t="s">
        <v>768</v>
      </c>
      <c r="B217" s="134" t="s">
        <v>765</v>
      </c>
      <c r="C217" s="133">
        <v>-569000</v>
      </c>
      <c r="D217" s="133">
        <v>-647000</v>
      </c>
      <c r="E217" s="133">
        <v>-782000</v>
      </c>
      <c r="F217" s="133">
        <v>-848000</v>
      </c>
    </row>
    <row r="218" spans="1:6" x14ac:dyDescent="0.3">
      <c r="A218" s="131" t="s">
        <v>769</v>
      </c>
      <c r="B218" s="134" t="s">
        <v>765</v>
      </c>
      <c r="C218" s="133">
        <v>-109000</v>
      </c>
      <c r="D218" s="133">
        <v>320000</v>
      </c>
      <c r="E218" s="133">
        <v>-31000</v>
      </c>
      <c r="F218" s="133">
        <v>184000</v>
      </c>
    </row>
    <row r="219" spans="1:6" x14ac:dyDescent="0.3">
      <c r="A219" s="131" t="s">
        <v>770</v>
      </c>
      <c r="B219" s="134" t="s">
        <v>765</v>
      </c>
      <c r="C219" s="133">
        <v>392000</v>
      </c>
      <c r="D219" s="133">
        <v>1514000</v>
      </c>
      <c r="E219" s="133">
        <v>1747000</v>
      </c>
      <c r="F219" s="133">
        <v>1846000</v>
      </c>
    </row>
    <row r="220" spans="1:6" x14ac:dyDescent="0.3">
      <c r="A220" s="131" t="s">
        <v>771</v>
      </c>
      <c r="B220" s="134" t="s">
        <v>765</v>
      </c>
      <c r="C220" s="134" t="s">
        <v>765</v>
      </c>
      <c r="D220" s="133">
        <v>48696000</v>
      </c>
      <c r="E220" s="133">
        <v>53430000</v>
      </c>
      <c r="F220" s="133">
        <v>56116000</v>
      </c>
    </row>
    <row r="221" spans="1:6" x14ac:dyDescent="0.3">
      <c r="A221" s="131" t="s">
        <v>772</v>
      </c>
      <c r="B221" s="134" t="s">
        <v>765</v>
      </c>
      <c r="C221" s="133">
        <v>1605000</v>
      </c>
      <c r="D221" s="133">
        <v>1743000</v>
      </c>
      <c r="E221" s="133">
        <v>1937000</v>
      </c>
      <c r="F221" s="133">
        <v>2133000</v>
      </c>
    </row>
    <row r="222" spans="1:6" x14ac:dyDescent="0.3">
      <c r="A222" s="131" t="s">
        <v>773</v>
      </c>
      <c r="B222" s="134" t="s">
        <v>765</v>
      </c>
      <c r="C222" s="133">
        <v>-4204000</v>
      </c>
      <c r="D222" s="133">
        <v>-4466000</v>
      </c>
      <c r="E222" s="133">
        <v>-4560000</v>
      </c>
      <c r="F222" s="133">
        <v>-4753000</v>
      </c>
    </row>
    <row r="223" spans="1:6" x14ac:dyDescent="0.3">
      <c r="A223" s="125" t="s">
        <v>190</v>
      </c>
      <c r="B223" s="125"/>
      <c r="C223" s="125"/>
      <c r="D223" s="125"/>
      <c r="E223" s="125"/>
      <c r="F223" s="125"/>
    </row>
    <row r="224" spans="1:6" x14ac:dyDescent="0.3">
      <c r="A224" s="131" t="s">
        <v>706</v>
      </c>
      <c r="B224" s="125"/>
      <c r="C224" s="125"/>
      <c r="D224" s="125"/>
      <c r="E224" s="125"/>
      <c r="F224" s="125"/>
    </row>
    <row r="225" spans="1:6" x14ac:dyDescent="0.3">
      <c r="A225" s="131" t="s">
        <v>764</v>
      </c>
      <c r="B225" s="134" t="s">
        <v>765</v>
      </c>
      <c r="C225" s="134" t="s">
        <v>765</v>
      </c>
      <c r="D225" s="134" t="s">
        <v>765</v>
      </c>
      <c r="E225" s="134" t="s">
        <v>765</v>
      </c>
      <c r="F225" s="134" t="s">
        <v>765</v>
      </c>
    </row>
    <row r="226" spans="1:6" x14ac:dyDescent="0.3">
      <c r="A226" s="131" t="s">
        <v>768</v>
      </c>
      <c r="B226" s="134" t="s">
        <v>765</v>
      </c>
      <c r="C226" s="134" t="s">
        <v>765</v>
      </c>
      <c r="D226" s="134" t="s">
        <v>765</v>
      </c>
      <c r="E226" s="134" t="s">
        <v>765</v>
      </c>
      <c r="F226" s="134" t="s">
        <v>765</v>
      </c>
    </row>
    <row r="227" spans="1:6" x14ac:dyDescent="0.3">
      <c r="A227" s="131" t="s">
        <v>769</v>
      </c>
      <c r="B227" s="134" t="s">
        <v>765</v>
      </c>
      <c r="C227" s="134" t="s">
        <v>765</v>
      </c>
      <c r="D227" s="134" t="s">
        <v>765</v>
      </c>
      <c r="E227" s="134" t="s">
        <v>765</v>
      </c>
      <c r="F227" s="134" t="s">
        <v>765</v>
      </c>
    </row>
    <row r="228" spans="1:6" x14ac:dyDescent="0.3">
      <c r="A228" s="131" t="s">
        <v>770</v>
      </c>
      <c r="B228" s="134" t="s">
        <v>765</v>
      </c>
      <c r="C228" s="134" t="s">
        <v>765</v>
      </c>
      <c r="D228" s="133">
        <v>-466000</v>
      </c>
      <c r="E228" s="133">
        <v>-288000</v>
      </c>
      <c r="F228" s="133">
        <v>-721000</v>
      </c>
    </row>
    <row r="229" spans="1:6" x14ac:dyDescent="0.3">
      <c r="A229" s="131" t="s">
        <v>771</v>
      </c>
      <c r="B229" s="134" t="s">
        <v>765</v>
      </c>
      <c r="C229" s="134" t="s">
        <v>765</v>
      </c>
      <c r="D229" s="134" t="s">
        <v>765</v>
      </c>
      <c r="E229" s="133">
        <v>967000</v>
      </c>
      <c r="F229" s="133">
        <v>2622000</v>
      </c>
    </row>
    <row r="230" spans="1:6" x14ac:dyDescent="0.3">
      <c r="A230" s="131" t="s">
        <v>772</v>
      </c>
      <c r="B230" s="134" t="s">
        <v>765</v>
      </c>
      <c r="C230" s="134" t="s">
        <v>765</v>
      </c>
      <c r="D230" s="134" t="s">
        <v>765</v>
      </c>
      <c r="E230" s="134" t="s">
        <v>765</v>
      </c>
      <c r="F230" s="134" t="s">
        <v>765</v>
      </c>
    </row>
    <row r="231" spans="1:6" x14ac:dyDescent="0.3">
      <c r="A231" s="131" t="s">
        <v>773</v>
      </c>
      <c r="B231" s="134" t="s">
        <v>765</v>
      </c>
      <c r="C231" s="134" t="s">
        <v>765</v>
      </c>
      <c r="D231" s="133">
        <v>-7000</v>
      </c>
      <c r="E231" s="133">
        <v>-5000</v>
      </c>
      <c r="F231" s="133">
        <v>-3000</v>
      </c>
    </row>
    <row r="232" spans="1:6" x14ac:dyDescent="0.3">
      <c r="A232" s="125" t="s">
        <v>190</v>
      </c>
      <c r="B232" s="125"/>
      <c r="C232" s="125"/>
      <c r="D232" s="125"/>
      <c r="E232" s="125"/>
      <c r="F232" s="125"/>
    </row>
    <row r="233" spans="1:6" x14ac:dyDescent="0.3">
      <c r="A233" s="131" t="s">
        <v>766</v>
      </c>
      <c r="B233" s="125"/>
      <c r="C233" s="125"/>
      <c r="D233" s="125"/>
      <c r="E233" s="125"/>
      <c r="F233" s="125"/>
    </row>
    <row r="234" spans="1:6" x14ac:dyDescent="0.3">
      <c r="A234" s="131" t="s">
        <v>764</v>
      </c>
      <c r="B234" s="134" t="s">
        <v>765</v>
      </c>
      <c r="C234" s="134" t="s">
        <v>765</v>
      </c>
      <c r="D234" s="134" t="s">
        <v>765</v>
      </c>
      <c r="E234" s="134" t="s">
        <v>765</v>
      </c>
      <c r="F234" s="134" t="s">
        <v>765</v>
      </c>
    </row>
    <row r="235" spans="1:6" x14ac:dyDescent="0.3">
      <c r="A235" s="131" t="s">
        <v>768</v>
      </c>
      <c r="B235" s="134" t="s">
        <v>765</v>
      </c>
      <c r="C235" s="134" t="s">
        <v>765</v>
      </c>
      <c r="D235" s="134" t="s">
        <v>765</v>
      </c>
      <c r="E235" s="134" t="s">
        <v>765</v>
      </c>
      <c r="F235" s="134" t="s">
        <v>765</v>
      </c>
    </row>
    <row r="236" spans="1:6" x14ac:dyDescent="0.3">
      <c r="A236" s="131" t="s">
        <v>769</v>
      </c>
      <c r="B236" s="134" t="s">
        <v>765</v>
      </c>
      <c r="C236" s="134" t="s">
        <v>765</v>
      </c>
      <c r="D236" s="134" t="s">
        <v>765</v>
      </c>
      <c r="E236" s="134" t="s">
        <v>765</v>
      </c>
      <c r="F236" s="134" t="s">
        <v>765</v>
      </c>
    </row>
    <row r="237" spans="1:6" x14ac:dyDescent="0.3">
      <c r="A237" s="131" t="s">
        <v>770</v>
      </c>
      <c r="B237" s="134" t="s">
        <v>765</v>
      </c>
      <c r="C237" s="134" t="s">
        <v>765</v>
      </c>
      <c r="D237" s="134" t="s">
        <v>765</v>
      </c>
      <c r="E237" s="134" t="s">
        <v>765</v>
      </c>
      <c r="F237" s="134" t="s">
        <v>765</v>
      </c>
    </row>
    <row r="238" spans="1:6" x14ac:dyDescent="0.3">
      <c r="A238" s="131" t="s">
        <v>771</v>
      </c>
      <c r="B238" s="134" t="s">
        <v>765</v>
      </c>
      <c r="C238" s="134" t="s">
        <v>765</v>
      </c>
      <c r="D238" s="134" t="s">
        <v>765</v>
      </c>
      <c r="E238" s="134" t="s">
        <v>765</v>
      </c>
      <c r="F238" s="134" t="s">
        <v>765</v>
      </c>
    </row>
    <row r="239" spans="1:6" x14ac:dyDescent="0.3">
      <c r="A239" s="131" t="s">
        <v>772</v>
      </c>
      <c r="B239" s="134" t="s">
        <v>765</v>
      </c>
      <c r="C239" s="134" t="s">
        <v>765</v>
      </c>
      <c r="D239" s="134" t="s">
        <v>765</v>
      </c>
      <c r="E239" s="134" t="s">
        <v>765</v>
      </c>
      <c r="F239" s="134" t="s">
        <v>765</v>
      </c>
    </row>
    <row r="240" spans="1:6" x14ac:dyDescent="0.3">
      <c r="A240" s="131" t="s">
        <v>773</v>
      </c>
      <c r="B240" s="134" t="s">
        <v>765</v>
      </c>
      <c r="C240" s="134" t="s">
        <v>765</v>
      </c>
      <c r="D240" s="134" t="s">
        <v>765</v>
      </c>
      <c r="E240" s="134" t="s">
        <v>765</v>
      </c>
      <c r="F240" s="134" t="s">
        <v>765</v>
      </c>
    </row>
    <row r="241" spans="1:6" x14ac:dyDescent="0.3">
      <c r="A241" s="125"/>
    </row>
    <row r="242" spans="1:6" x14ac:dyDescent="0.3">
      <c r="A242" s="442" t="s">
        <v>774</v>
      </c>
      <c r="B242" s="442"/>
      <c r="C242" s="442"/>
      <c r="D242" s="442"/>
      <c r="E242" s="442"/>
      <c r="F242" s="442"/>
    </row>
    <row r="243" spans="1:6" x14ac:dyDescent="0.3">
      <c r="A243" s="127" t="s">
        <v>756</v>
      </c>
      <c r="B243" s="128" t="s">
        <v>757</v>
      </c>
      <c r="C243" s="128" t="s">
        <v>758</v>
      </c>
      <c r="D243" s="128" t="s">
        <v>759</v>
      </c>
      <c r="E243" s="128" t="s">
        <v>760</v>
      </c>
      <c r="F243" s="128" t="s">
        <v>761</v>
      </c>
    </row>
    <row r="244" spans="1:6" x14ac:dyDescent="0.3">
      <c r="A244" s="125" t="s">
        <v>762</v>
      </c>
      <c r="B244" s="129">
        <v>44196</v>
      </c>
      <c r="C244" s="129">
        <v>44561</v>
      </c>
      <c r="D244" s="129">
        <v>44926</v>
      </c>
      <c r="E244" s="129">
        <v>45291</v>
      </c>
      <c r="F244" s="129">
        <v>45657</v>
      </c>
    </row>
    <row r="245" spans="1:6" x14ac:dyDescent="0.3">
      <c r="A245" s="125" t="s">
        <v>763</v>
      </c>
      <c r="B245" s="130" t="s">
        <v>378</v>
      </c>
      <c r="C245" s="130" t="s">
        <v>378</v>
      </c>
      <c r="D245" s="130" t="s">
        <v>378</v>
      </c>
      <c r="E245" s="130" t="s">
        <v>378</v>
      </c>
      <c r="F245" s="130" t="s">
        <v>378</v>
      </c>
    </row>
    <row r="246" spans="1:6" x14ac:dyDescent="0.3">
      <c r="A246" s="125" t="s">
        <v>190</v>
      </c>
      <c r="B246" s="125"/>
      <c r="C246" s="125"/>
      <c r="D246" s="125"/>
      <c r="E246" s="125"/>
      <c r="F246" s="125"/>
    </row>
    <row r="247" spans="1:6" x14ac:dyDescent="0.3">
      <c r="A247" s="131" t="s">
        <v>764</v>
      </c>
      <c r="B247" s="125"/>
      <c r="C247" s="125"/>
      <c r="D247" s="125"/>
      <c r="E247" s="125"/>
      <c r="F247" s="125"/>
    </row>
    <row r="248" spans="1:6" x14ac:dyDescent="0.3">
      <c r="A248" s="125" t="s">
        <v>718</v>
      </c>
      <c r="B248" s="132">
        <v>10205000</v>
      </c>
      <c r="C248" s="132">
        <v>11154000</v>
      </c>
      <c r="D248" s="132">
        <v>13015000</v>
      </c>
      <c r="E248" s="132">
        <v>14973000</v>
      </c>
      <c r="F248" s="132">
        <v>11623000</v>
      </c>
    </row>
    <row r="249" spans="1:6" x14ac:dyDescent="0.3">
      <c r="A249" s="125" t="s">
        <v>719</v>
      </c>
      <c r="B249" s="132">
        <v>1165000</v>
      </c>
      <c r="C249" s="132">
        <v>1703000</v>
      </c>
      <c r="D249" s="132">
        <v>1424000</v>
      </c>
      <c r="E249" s="132">
        <v>1747000</v>
      </c>
      <c r="F249" s="132">
        <v>1562000</v>
      </c>
    </row>
    <row r="250" spans="1:6" x14ac:dyDescent="0.3">
      <c r="A250" s="125" t="s">
        <v>721</v>
      </c>
      <c r="B250" s="130" t="s">
        <v>765</v>
      </c>
      <c r="C250" s="130" t="s">
        <v>765</v>
      </c>
      <c r="D250" s="130" t="s">
        <v>765</v>
      </c>
      <c r="E250" s="130" t="s">
        <v>765</v>
      </c>
      <c r="F250" s="130" t="s">
        <v>765</v>
      </c>
    </row>
    <row r="251" spans="1:6" x14ac:dyDescent="0.3">
      <c r="A251" s="125" t="s">
        <v>722</v>
      </c>
      <c r="B251" s="130" t="s">
        <v>765</v>
      </c>
      <c r="C251" s="130" t="s">
        <v>765</v>
      </c>
      <c r="D251" s="130" t="s">
        <v>765</v>
      </c>
      <c r="E251" s="130" t="s">
        <v>765</v>
      </c>
      <c r="F251" s="130" t="s">
        <v>765</v>
      </c>
    </row>
    <row r="252" spans="1:6" x14ac:dyDescent="0.3">
      <c r="A252" s="125" t="s">
        <v>190</v>
      </c>
      <c r="B252" s="125"/>
      <c r="C252" s="125"/>
      <c r="D252" s="125"/>
      <c r="E252" s="125"/>
      <c r="F252" s="125"/>
    </row>
    <row r="253" spans="1:6" x14ac:dyDescent="0.3">
      <c r="A253" s="131" t="s">
        <v>771</v>
      </c>
      <c r="B253" s="125"/>
      <c r="C253" s="125"/>
      <c r="D253" s="125"/>
      <c r="E253" s="125"/>
      <c r="F253" s="125"/>
    </row>
    <row r="254" spans="1:6" x14ac:dyDescent="0.3">
      <c r="A254" s="125" t="s">
        <v>718</v>
      </c>
      <c r="B254" s="132">
        <v>46902000</v>
      </c>
      <c r="C254" s="132">
        <v>50657000</v>
      </c>
      <c r="D254" s="132">
        <v>55035000</v>
      </c>
      <c r="E254" s="132">
        <v>46935000</v>
      </c>
      <c r="F254" s="132">
        <v>52952000</v>
      </c>
    </row>
    <row r="255" spans="1:6" x14ac:dyDescent="0.3">
      <c r="A255" s="125" t="s">
        <v>719</v>
      </c>
      <c r="B255" s="132">
        <v>6929000</v>
      </c>
      <c r="C255" s="132">
        <v>7708000</v>
      </c>
      <c r="D255" s="132">
        <v>8423000</v>
      </c>
      <c r="E255" s="132">
        <v>8024000</v>
      </c>
      <c r="F255" s="132">
        <v>8485000</v>
      </c>
    </row>
    <row r="256" spans="1:6" x14ac:dyDescent="0.3">
      <c r="A256" s="125" t="s">
        <v>721</v>
      </c>
      <c r="B256" s="130" t="s">
        <v>765</v>
      </c>
      <c r="C256" s="130" t="s">
        <v>765</v>
      </c>
      <c r="D256" s="130" t="s">
        <v>765</v>
      </c>
      <c r="E256" s="132">
        <v>1000</v>
      </c>
      <c r="F256" s="130" t="s">
        <v>765</v>
      </c>
    </row>
    <row r="257" spans="1:6" x14ac:dyDescent="0.3">
      <c r="A257" s="125" t="s">
        <v>722</v>
      </c>
      <c r="B257" s="130" t="s">
        <v>765</v>
      </c>
      <c r="C257" s="132">
        <v>1000</v>
      </c>
      <c r="D257" s="132">
        <v>1000</v>
      </c>
      <c r="E257" s="130" t="s">
        <v>765</v>
      </c>
      <c r="F257" s="130" t="s">
        <v>765</v>
      </c>
    </row>
    <row r="258" spans="1:6" x14ac:dyDescent="0.3">
      <c r="A258" s="126"/>
    </row>
    <row r="259" spans="1:6" ht="51" customHeight="1" x14ac:dyDescent="0.3">
      <c r="A259" s="443" t="s">
        <v>777</v>
      </c>
      <c r="B259" s="443"/>
      <c r="C259" s="443"/>
      <c r="D259" s="443"/>
      <c r="E259" s="443"/>
      <c r="F259" s="443"/>
    </row>
    <row r="260" spans="1:6" x14ac:dyDescent="0.3">
      <c r="A260" s="126"/>
    </row>
    <row r="261" spans="1:6" x14ac:dyDescent="0.3">
      <c r="A261" s="126"/>
    </row>
  </sheetData>
  <mergeCells count="9">
    <mergeCell ref="A138:F138"/>
    <mergeCell ref="A242:F242"/>
    <mergeCell ref="A259:F259"/>
    <mergeCell ref="A1:D1"/>
    <mergeCell ref="A2:L2"/>
    <mergeCell ref="A13:F13"/>
    <mergeCell ref="A15:F15"/>
    <mergeCell ref="A118:F118"/>
    <mergeCell ref="A136:F136"/>
  </mergeCells>
  <pageMargins left="0.7" right="0.7" top="0.75" bottom="0.75" header="0.3" footer="0.3"/>
  <pageSetup orientation="portrait"/>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5D3BF0-D26D-4A9A-B3B2-29CDB43B5968}">
  <dimension ref="A1:N85"/>
  <sheetViews>
    <sheetView workbookViewId="0">
      <selection activeCell="I30" sqref="I30"/>
    </sheetView>
  </sheetViews>
  <sheetFormatPr defaultColWidth="8.88671875" defaultRowHeight="14.4" x14ac:dyDescent="0.3"/>
  <cols>
    <col min="1" max="1" width="48.44140625" customWidth="1"/>
    <col min="2" max="6" width="17.44140625" customWidth="1"/>
    <col min="9" max="9" width="27.44140625" customWidth="1"/>
    <col min="10" max="10" width="11.109375" customWidth="1"/>
    <col min="11" max="11" width="16.44140625" customWidth="1"/>
    <col min="12" max="12" width="14.44140625" customWidth="1"/>
    <col min="13" max="13" width="17.44140625" customWidth="1"/>
    <col min="14" max="14" width="19" customWidth="1"/>
  </cols>
  <sheetData>
    <row r="1" spans="1:14" ht="39.9" customHeight="1" x14ac:dyDescent="0.3">
      <c r="A1" s="464"/>
      <c r="B1" s="464"/>
      <c r="C1" s="464"/>
      <c r="D1" s="464"/>
    </row>
    <row r="2" spans="1:14" ht="18" x14ac:dyDescent="0.35">
      <c r="A2" s="465" t="s">
        <v>778</v>
      </c>
      <c r="B2" s="465"/>
      <c r="C2" s="465"/>
      <c r="D2" s="465"/>
      <c r="E2" s="465"/>
      <c r="F2" s="465"/>
      <c r="G2" s="465"/>
      <c r="H2" s="465"/>
      <c r="I2" s="465"/>
      <c r="J2" s="465"/>
      <c r="K2" s="465"/>
      <c r="L2" s="465"/>
    </row>
    <row r="3" spans="1:14" x14ac:dyDescent="0.3">
      <c r="A3" s="210" t="s">
        <v>746</v>
      </c>
    </row>
    <row r="5" spans="1:14" x14ac:dyDescent="0.3">
      <c r="A5" s="210" t="s">
        <v>747</v>
      </c>
      <c r="B5" s="211"/>
    </row>
    <row r="6" spans="1:14" x14ac:dyDescent="0.3">
      <c r="A6" s="210" t="s">
        <v>748</v>
      </c>
      <c r="B6" s="211"/>
    </row>
    <row r="7" spans="1:14" x14ac:dyDescent="0.3">
      <c r="A7" s="210" t="s">
        <v>749</v>
      </c>
      <c r="B7" s="211"/>
    </row>
    <row r="8" spans="1:14" x14ac:dyDescent="0.3">
      <c r="A8" s="210" t="s">
        <v>751</v>
      </c>
      <c r="B8" s="211"/>
    </row>
    <row r="9" spans="1:14" x14ac:dyDescent="0.3">
      <c r="A9" s="210" t="s">
        <v>752</v>
      </c>
      <c r="B9" s="211"/>
    </row>
    <row r="10" spans="1:14" x14ac:dyDescent="0.3">
      <c r="A10" s="210"/>
    </row>
    <row r="11" spans="1:14" x14ac:dyDescent="0.3">
      <c r="A11" s="466"/>
      <c r="B11" s="466"/>
      <c r="C11" s="466"/>
      <c r="D11" s="466"/>
      <c r="E11" s="466"/>
      <c r="F11" s="466"/>
    </row>
    <row r="12" spans="1:14" x14ac:dyDescent="0.3">
      <c r="A12" s="212" t="s">
        <v>756</v>
      </c>
      <c r="B12" s="213" t="s">
        <v>779</v>
      </c>
      <c r="C12" s="213" t="s">
        <v>780</v>
      </c>
      <c r="D12" s="213" t="s">
        <v>781</v>
      </c>
      <c r="E12" s="213" t="s">
        <v>782</v>
      </c>
      <c r="F12" s="213" t="s">
        <v>783</v>
      </c>
    </row>
    <row r="13" spans="1:14" x14ac:dyDescent="0.3">
      <c r="A13" s="210" t="s">
        <v>762</v>
      </c>
      <c r="B13" s="322">
        <v>44561</v>
      </c>
      <c r="C13" s="322">
        <v>44926</v>
      </c>
      <c r="D13" s="322">
        <v>45291</v>
      </c>
      <c r="E13" s="322">
        <v>45657</v>
      </c>
      <c r="F13" s="322">
        <v>46022</v>
      </c>
    </row>
    <row r="14" spans="1:14" x14ac:dyDescent="0.3">
      <c r="A14" s="210" t="s">
        <v>377</v>
      </c>
      <c r="B14" s="214" t="s">
        <v>378</v>
      </c>
      <c r="C14" s="214" t="s">
        <v>378</v>
      </c>
      <c r="D14" s="214" t="s">
        <v>378</v>
      </c>
      <c r="E14" s="214" t="s">
        <v>378</v>
      </c>
      <c r="F14" s="214" t="s">
        <v>378</v>
      </c>
    </row>
    <row r="15" spans="1:14" x14ac:dyDescent="0.3">
      <c r="A15" s="210" t="s">
        <v>380</v>
      </c>
      <c r="B15" s="214" t="s">
        <v>381</v>
      </c>
      <c r="C15" s="214" t="s">
        <v>381</v>
      </c>
      <c r="D15" s="214" t="s">
        <v>381</v>
      </c>
      <c r="E15" s="214" t="s">
        <v>381</v>
      </c>
      <c r="F15" s="214" t="s">
        <v>381</v>
      </c>
    </row>
    <row r="16" spans="1:14" x14ac:dyDescent="0.3">
      <c r="A16" s="323" t="s">
        <v>784</v>
      </c>
      <c r="B16" s="210"/>
      <c r="C16" s="210"/>
      <c r="D16" s="210"/>
      <c r="E16" s="210"/>
      <c r="F16" s="210"/>
      <c r="J16">
        <v>2021</v>
      </c>
      <c r="K16">
        <v>2022</v>
      </c>
      <c r="L16">
        <v>2023</v>
      </c>
      <c r="M16">
        <v>2024</v>
      </c>
      <c r="N16">
        <v>2025</v>
      </c>
    </row>
    <row r="17" spans="1:14" x14ac:dyDescent="0.3">
      <c r="A17" s="210" t="s">
        <v>785</v>
      </c>
      <c r="B17" s="324">
        <v>559</v>
      </c>
      <c r="C17" s="324">
        <v>370</v>
      </c>
      <c r="D17" s="324">
        <v>236</v>
      </c>
      <c r="E17" s="324">
        <v>1565</v>
      </c>
      <c r="F17" s="324">
        <v>29</v>
      </c>
      <c r="I17" t="s">
        <v>384</v>
      </c>
      <c r="J17" s="325">
        <f>B$18+B$19+B$22+B$23+B$26</f>
        <v>3148</v>
      </c>
      <c r="K17" s="325">
        <f>C$18+C$19+C$22+C$23+C$26</f>
        <v>4040</v>
      </c>
      <c r="L17" s="325">
        <f>D$18+D$19+D$22+D$23+D$26</f>
        <v>3523</v>
      </c>
      <c r="M17" s="325">
        <f>E$18+E$19+E$22+E$26</f>
        <v>3319</v>
      </c>
      <c r="N17" s="325">
        <f>F$18+F$19+F$22+F$26</f>
        <v>2747</v>
      </c>
    </row>
    <row r="18" spans="1:14" x14ac:dyDescent="0.3">
      <c r="A18" s="210" t="s">
        <v>786</v>
      </c>
      <c r="B18" s="324">
        <v>2071</v>
      </c>
      <c r="C18" s="324">
        <v>2635</v>
      </c>
      <c r="D18" s="324">
        <v>2151</v>
      </c>
      <c r="E18" s="324">
        <v>1983</v>
      </c>
      <c r="F18" s="324">
        <v>1767</v>
      </c>
      <c r="I18" t="s">
        <v>386</v>
      </c>
      <c r="J18" s="325">
        <f>B$51+B$55+B$52+B$56</f>
        <v>3459</v>
      </c>
      <c r="K18" s="325">
        <f>C$51+C$55+C$52+C$56</f>
        <v>4133</v>
      </c>
      <c r="L18" s="325">
        <f>D$51+D$55+D$52+D$56</f>
        <v>4335</v>
      </c>
      <c r="M18" s="325">
        <f>E$51+E$55+E$52+E$56</f>
        <v>4255</v>
      </c>
      <c r="N18" s="325">
        <f>F$51+F$55+F$52+F$56</f>
        <v>3164</v>
      </c>
    </row>
    <row r="19" spans="1:14" x14ac:dyDescent="0.3">
      <c r="A19" s="210" t="s">
        <v>787</v>
      </c>
      <c r="B19" s="324">
        <v>398</v>
      </c>
      <c r="C19" s="324">
        <v>685</v>
      </c>
      <c r="D19" s="324">
        <v>561</v>
      </c>
      <c r="E19" s="324">
        <v>397</v>
      </c>
      <c r="F19" s="324">
        <v>157</v>
      </c>
      <c r="I19" t="s">
        <v>388</v>
      </c>
      <c r="J19" s="325">
        <f>B$34+B$33</f>
        <v>43894</v>
      </c>
      <c r="K19" s="325">
        <f>C$34+C$33</f>
        <v>47782</v>
      </c>
      <c r="L19" s="325">
        <f>D$34+D$33</f>
        <v>54960</v>
      </c>
      <c r="M19" s="325">
        <f>E$34+E$33</f>
        <v>61437</v>
      </c>
      <c r="N19" s="325">
        <f>F$34+F$33</f>
        <v>49011</v>
      </c>
    </row>
    <row r="20" spans="1:14" x14ac:dyDescent="0.3">
      <c r="A20" s="210" t="s">
        <v>788</v>
      </c>
      <c r="B20" s="324">
        <v>79</v>
      </c>
      <c r="C20" s="324">
        <v>113</v>
      </c>
      <c r="D20" s="324">
        <v>94</v>
      </c>
      <c r="E20" s="324">
        <v>90</v>
      </c>
      <c r="F20" s="324">
        <v>71</v>
      </c>
      <c r="I20" t="s">
        <v>390</v>
      </c>
      <c r="J20" s="325">
        <f>B$32+B$34+B$33+B$45+B$42+B$46+B$48</f>
        <v>46855</v>
      </c>
      <c r="K20" s="325">
        <f>C$32+C$34+C$33+C$45+C$42+C$46+C$48</f>
        <v>51262</v>
      </c>
      <c r="L20" s="325">
        <f>D$32+D$34+D$33+D$45+D$42+D$46+D$48</f>
        <v>58174</v>
      </c>
      <c r="M20" s="325">
        <f>E$32+E$34+E$33+E$45+E$42+E$46+E$48</f>
        <v>65762</v>
      </c>
      <c r="N20" s="325">
        <f>F$32+F$34+F$33+F$45+F$46+F$48</f>
        <v>53040</v>
      </c>
    </row>
    <row r="21" spans="1:14" x14ac:dyDescent="0.3">
      <c r="A21" s="210" t="s">
        <v>789</v>
      </c>
      <c r="B21" s="324">
        <v>23</v>
      </c>
      <c r="C21" s="324">
        <v>54</v>
      </c>
      <c r="D21" s="324">
        <v>31</v>
      </c>
      <c r="E21" s="324">
        <v>13</v>
      </c>
      <c r="F21" s="214" t="s">
        <v>765</v>
      </c>
    </row>
    <row r="22" spans="1:14" x14ac:dyDescent="0.3">
      <c r="A22" s="210" t="s">
        <v>790</v>
      </c>
      <c r="B22" s="324">
        <v>389</v>
      </c>
      <c r="C22" s="324">
        <v>403</v>
      </c>
      <c r="D22" s="324">
        <v>482</v>
      </c>
      <c r="E22" s="324">
        <v>559</v>
      </c>
      <c r="F22" s="324">
        <v>561</v>
      </c>
      <c r="I22" t="s">
        <v>393</v>
      </c>
      <c r="J22" s="325">
        <f>J$17-J$18+J$19+J$20</f>
        <v>90438</v>
      </c>
      <c r="K22" s="325">
        <f>K$17-K$18+K$19+K$20</f>
        <v>98951</v>
      </c>
      <c r="L22" s="325">
        <f>L$17-L$18+L$19+L$20</f>
        <v>112322</v>
      </c>
      <c r="M22" s="325">
        <f>M$17-M$18+M$19+M$20</f>
        <v>126263</v>
      </c>
      <c r="N22" s="325">
        <f>N$17-N$18+N$19+N$20</f>
        <v>101634</v>
      </c>
    </row>
    <row r="23" spans="1:14" x14ac:dyDescent="0.3">
      <c r="A23" s="210" t="s">
        <v>791</v>
      </c>
      <c r="B23" s="324">
        <v>260</v>
      </c>
      <c r="C23" s="324">
        <v>268</v>
      </c>
      <c r="D23" s="324">
        <v>273</v>
      </c>
      <c r="E23" s="214" t="s">
        <v>765</v>
      </c>
      <c r="F23" s="214" t="s">
        <v>765</v>
      </c>
    </row>
    <row r="24" spans="1:14" x14ac:dyDescent="0.3">
      <c r="A24" s="210" t="s">
        <v>792</v>
      </c>
      <c r="B24" s="324">
        <v>19</v>
      </c>
      <c r="C24" s="324">
        <v>40</v>
      </c>
      <c r="D24" s="324">
        <v>49</v>
      </c>
      <c r="E24" s="324">
        <v>21</v>
      </c>
      <c r="F24" s="324">
        <v>2</v>
      </c>
    </row>
    <row r="25" spans="1:14" x14ac:dyDescent="0.3">
      <c r="A25" s="210" t="s">
        <v>793</v>
      </c>
      <c r="B25" s="214" t="s">
        <v>765</v>
      </c>
      <c r="C25" s="214" t="s">
        <v>765</v>
      </c>
      <c r="D25" s="214" t="s">
        <v>765</v>
      </c>
      <c r="E25" s="214" t="s">
        <v>765</v>
      </c>
      <c r="F25" s="324">
        <v>31024</v>
      </c>
    </row>
    <row r="26" spans="1:14" x14ac:dyDescent="0.3">
      <c r="A26" s="210" t="s">
        <v>794</v>
      </c>
      <c r="B26" s="324">
        <v>30</v>
      </c>
      <c r="C26" s="324">
        <v>49</v>
      </c>
      <c r="D26" s="324">
        <v>56</v>
      </c>
      <c r="E26" s="324">
        <v>380</v>
      </c>
      <c r="F26" s="324">
        <v>262</v>
      </c>
    </row>
    <row r="27" spans="1:14" x14ac:dyDescent="0.3">
      <c r="A27" s="210" t="s">
        <v>795</v>
      </c>
      <c r="B27" s="324">
        <v>179</v>
      </c>
      <c r="C27" s="324">
        <v>803</v>
      </c>
      <c r="D27" s="324">
        <v>122</v>
      </c>
      <c r="E27" s="214" t="s">
        <v>765</v>
      </c>
      <c r="F27" s="214" t="s">
        <v>765</v>
      </c>
    </row>
    <row r="28" spans="1:14" x14ac:dyDescent="0.3">
      <c r="A28" s="210" t="s">
        <v>796</v>
      </c>
      <c r="B28" s="324">
        <v>271</v>
      </c>
      <c r="C28" s="324">
        <v>351</v>
      </c>
      <c r="D28" s="324">
        <v>226</v>
      </c>
      <c r="E28" s="324">
        <v>60</v>
      </c>
      <c r="F28" s="324">
        <v>761</v>
      </c>
    </row>
    <row r="29" spans="1:14" x14ac:dyDescent="0.3">
      <c r="A29" s="210" t="s">
        <v>797</v>
      </c>
      <c r="B29" s="324">
        <v>97</v>
      </c>
      <c r="C29" s="324">
        <v>141</v>
      </c>
      <c r="D29" s="324">
        <v>1189</v>
      </c>
      <c r="E29" s="324">
        <v>217</v>
      </c>
      <c r="F29" s="324">
        <v>203</v>
      </c>
    </row>
    <row r="30" spans="1:14" x14ac:dyDescent="0.3">
      <c r="A30" s="210" t="s">
        <v>798</v>
      </c>
      <c r="B30" s="324">
        <v>4375</v>
      </c>
      <c r="C30" s="324">
        <v>5912</v>
      </c>
      <c r="D30" s="324">
        <v>5470</v>
      </c>
      <c r="E30" s="324">
        <v>5285</v>
      </c>
      <c r="F30" s="324">
        <v>34837</v>
      </c>
    </row>
    <row r="31" spans="1:14" x14ac:dyDescent="0.3">
      <c r="A31" s="323" t="s">
        <v>799</v>
      </c>
      <c r="B31" s="210"/>
      <c r="C31" s="210"/>
      <c r="D31" s="210"/>
      <c r="E31" s="210"/>
      <c r="F31" s="210"/>
    </row>
    <row r="32" spans="1:14" x14ac:dyDescent="0.3">
      <c r="A32" s="210" t="s">
        <v>800</v>
      </c>
      <c r="B32" s="324">
        <v>594</v>
      </c>
      <c r="C32" s="324">
        <v>655</v>
      </c>
      <c r="D32" s="324">
        <v>723</v>
      </c>
      <c r="E32" s="324">
        <v>1177</v>
      </c>
      <c r="F32" s="324">
        <v>1262</v>
      </c>
    </row>
    <row r="33" spans="1:6" x14ac:dyDescent="0.3">
      <c r="A33" s="210" t="s">
        <v>801</v>
      </c>
      <c r="B33" s="324">
        <v>-15046</v>
      </c>
      <c r="C33" s="324">
        <v>-16111</v>
      </c>
      <c r="D33" s="324">
        <v>-17535</v>
      </c>
      <c r="E33" s="324">
        <v>-18960</v>
      </c>
      <c r="F33" s="324">
        <v>-17889</v>
      </c>
    </row>
    <row r="34" spans="1:6" x14ac:dyDescent="0.3">
      <c r="A34" s="210" t="s">
        <v>802</v>
      </c>
      <c r="B34" s="324">
        <v>58940</v>
      </c>
      <c r="C34" s="324">
        <v>63893</v>
      </c>
      <c r="D34" s="324">
        <v>72495</v>
      </c>
      <c r="E34" s="324">
        <v>80397</v>
      </c>
      <c r="F34" s="324">
        <v>66900</v>
      </c>
    </row>
    <row r="35" spans="1:6" x14ac:dyDescent="0.3">
      <c r="A35" s="210" t="s">
        <v>796</v>
      </c>
      <c r="B35" s="324">
        <v>2011</v>
      </c>
      <c r="C35" s="324">
        <v>2588</v>
      </c>
      <c r="D35" s="324">
        <v>3771</v>
      </c>
      <c r="E35" s="324">
        <v>3937</v>
      </c>
      <c r="F35" s="324">
        <v>3868</v>
      </c>
    </row>
    <row r="36" spans="1:6" x14ac:dyDescent="0.3">
      <c r="A36" s="210" t="s">
        <v>803</v>
      </c>
      <c r="B36" s="324">
        <v>12947</v>
      </c>
      <c r="C36" s="324">
        <v>13665</v>
      </c>
      <c r="D36" s="324">
        <v>14266</v>
      </c>
      <c r="E36" s="324">
        <v>15400</v>
      </c>
      <c r="F36" s="324">
        <v>17472</v>
      </c>
    </row>
    <row r="37" spans="1:6" x14ac:dyDescent="0.3">
      <c r="A37" s="210" t="s">
        <v>804</v>
      </c>
      <c r="B37" s="324">
        <v>1525</v>
      </c>
      <c r="C37" s="324">
        <v>2012</v>
      </c>
      <c r="D37" s="324">
        <v>2244</v>
      </c>
      <c r="E37" s="324">
        <v>2534</v>
      </c>
      <c r="F37" s="324">
        <v>147</v>
      </c>
    </row>
    <row r="38" spans="1:6" x14ac:dyDescent="0.3">
      <c r="A38" s="210" t="s">
        <v>805</v>
      </c>
      <c r="B38" s="324">
        <v>151</v>
      </c>
      <c r="C38" s="324">
        <v>135</v>
      </c>
      <c r="D38" s="324">
        <v>129</v>
      </c>
      <c r="E38" s="324">
        <v>172</v>
      </c>
      <c r="F38" s="324">
        <v>10</v>
      </c>
    </row>
    <row r="39" spans="1:6" x14ac:dyDescent="0.3">
      <c r="A39" s="210" t="s">
        <v>806</v>
      </c>
      <c r="B39" s="324">
        <v>360</v>
      </c>
      <c r="C39" s="214" t="s">
        <v>765</v>
      </c>
      <c r="D39" s="214" t="s">
        <v>765</v>
      </c>
      <c r="E39" s="214" t="s">
        <v>765</v>
      </c>
      <c r="F39" s="214" t="s">
        <v>765</v>
      </c>
    </row>
    <row r="40" spans="1:6" x14ac:dyDescent="0.3">
      <c r="A40" s="210" t="s">
        <v>789</v>
      </c>
      <c r="B40" s="324">
        <v>637</v>
      </c>
      <c r="C40" s="214" t="s">
        <v>765</v>
      </c>
      <c r="D40" s="214" t="s">
        <v>765</v>
      </c>
      <c r="E40" s="214" t="s">
        <v>765</v>
      </c>
      <c r="F40" s="214" t="s">
        <v>765</v>
      </c>
    </row>
    <row r="41" spans="1:6" x14ac:dyDescent="0.3">
      <c r="A41" s="210" t="s">
        <v>807</v>
      </c>
      <c r="B41" s="324">
        <v>1602</v>
      </c>
      <c r="C41" s="324">
        <v>1602</v>
      </c>
      <c r="D41" s="324">
        <v>1602</v>
      </c>
      <c r="E41" s="324">
        <v>1602</v>
      </c>
      <c r="F41" s="214" t="s">
        <v>765</v>
      </c>
    </row>
    <row r="42" spans="1:6" x14ac:dyDescent="0.3">
      <c r="A42" s="210" t="s">
        <v>808</v>
      </c>
      <c r="B42" s="324">
        <v>370</v>
      </c>
      <c r="C42" s="324">
        <v>344</v>
      </c>
      <c r="D42" s="324">
        <v>318</v>
      </c>
      <c r="E42" s="324">
        <v>292</v>
      </c>
      <c r="F42" s="214" t="s">
        <v>765</v>
      </c>
    </row>
    <row r="43" spans="1:6" x14ac:dyDescent="0.3">
      <c r="A43" s="210" t="s">
        <v>792</v>
      </c>
      <c r="B43" s="324">
        <v>3</v>
      </c>
      <c r="C43" s="324">
        <v>52</v>
      </c>
      <c r="D43" s="324">
        <v>104</v>
      </c>
      <c r="E43" s="324">
        <v>3</v>
      </c>
      <c r="F43" s="214" t="s">
        <v>765</v>
      </c>
    </row>
    <row r="44" spans="1:6" x14ac:dyDescent="0.3">
      <c r="A44" s="210" t="s">
        <v>809</v>
      </c>
      <c r="B44" s="324">
        <v>1012</v>
      </c>
      <c r="C44" s="324">
        <v>841</v>
      </c>
      <c r="D44" s="324">
        <v>872</v>
      </c>
      <c r="E44" s="324">
        <v>875</v>
      </c>
      <c r="F44" s="324">
        <v>899</v>
      </c>
    </row>
    <row r="45" spans="1:6" x14ac:dyDescent="0.3">
      <c r="A45" s="210" t="s">
        <v>810</v>
      </c>
      <c r="B45" s="324">
        <v>1244</v>
      </c>
      <c r="C45" s="324">
        <v>1382</v>
      </c>
      <c r="D45" s="324">
        <v>1603</v>
      </c>
      <c r="E45" s="324">
        <v>1749</v>
      </c>
      <c r="F45" s="324">
        <v>1300</v>
      </c>
    </row>
    <row r="46" spans="1:6" x14ac:dyDescent="0.3">
      <c r="A46" s="210" t="s">
        <v>797</v>
      </c>
      <c r="B46" s="324">
        <v>422</v>
      </c>
      <c r="C46" s="324">
        <v>796</v>
      </c>
      <c r="D46" s="324">
        <v>301</v>
      </c>
      <c r="E46" s="324">
        <v>845</v>
      </c>
      <c r="F46" s="324">
        <v>1221</v>
      </c>
    </row>
    <row r="47" spans="1:6" x14ac:dyDescent="0.3">
      <c r="A47" s="210" t="s">
        <v>811</v>
      </c>
      <c r="B47" s="324">
        <v>567</v>
      </c>
      <c r="C47" s="324">
        <v>505</v>
      </c>
      <c r="D47" s="324">
        <v>549</v>
      </c>
      <c r="E47" s="324">
        <v>585</v>
      </c>
      <c r="F47" s="324">
        <v>605</v>
      </c>
    </row>
    <row r="48" spans="1:6" x14ac:dyDescent="0.3">
      <c r="A48" s="210" t="s">
        <v>812</v>
      </c>
      <c r="B48" s="324">
        <v>331</v>
      </c>
      <c r="C48" s="324">
        <v>303</v>
      </c>
      <c r="D48" s="324">
        <v>269</v>
      </c>
      <c r="E48" s="324">
        <v>262</v>
      </c>
      <c r="F48" s="324">
        <v>246</v>
      </c>
    </row>
    <row r="49" spans="1:6" x14ac:dyDescent="0.3">
      <c r="A49" s="210" t="s">
        <v>813</v>
      </c>
      <c r="B49" s="324">
        <v>72045</v>
      </c>
      <c r="C49" s="324">
        <v>78574</v>
      </c>
      <c r="D49" s="324">
        <v>87181</v>
      </c>
      <c r="E49" s="324">
        <v>96155</v>
      </c>
      <c r="F49" s="324">
        <v>110878</v>
      </c>
    </row>
    <row r="50" spans="1:6" x14ac:dyDescent="0.3">
      <c r="A50" s="323" t="s">
        <v>814</v>
      </c>
      <c r="B50" s="210"/>
      <c r="C50" s="210"/>
      <c r="D50" s="210"/>
      <c r="E50" s="210"/>
      <c r="F50" s="210"/>
    </row>
    <row r="51" spans="1:6" x14ac:dyDescent="0.3">
      <c r="A51" s="210" t="s">
        <v>815</v>
      </c>
      <c r="B51" s="324">
        <v>1671</v>
      </c>
      <c r="C51" s="324">
        <v>1994</v>
      </c>
      <c r="D51" s="324">
        <v>2211</v>
      </c>
      <c r="E51" s="324">
        <v>2238</v>
      </c>
      <c r="F51" s="324">
        <v>1461</v>
      </c>
    </row>
    <row r="52" spans="1:6" x14ac:dyDescent="0.3">
      <c r="A52" s="210" t="s">
        <v>816</v>
      </c>
      <c r="B52" s="324">
        <v>479</v>
      </c>
      <c r="C52" s="324">
        <v>484</v>
      </c>
      <c r="D52" s="324">
        <v>526</v>
      </c>
      <c r="E52" s="324">
        <v>558</v>
      </c>
      <c r="F52" s="324">
        <v>521</v>
      </c>
    </row>
    <row r="53" spans="1:6" x14ac:dyDescent="0.3">
      <c r="A53" s="210" t="s">
        <v>817</v>
      </c>
      <c r="B53" s="324">
        <v>3471</v>
      </c>
      <c r="C53" s="324">
        <v>3352</v>
      </c>
      <c r="D53" s="324">
        <v>2342</v>
      </c>
      <c r="E53" s="324">
        <v>2016</v>
      </c>
      <c r="F53" s="324">
        <v>4166</v>
      </c>
    </row>
    <row r="54" spans="1:6" x14ac:dyDescent="0.3">
      <c r="A54" s="210" t="s">
        <v>818</v>
      </c>
      <c r="B54" s="324">
        <v>106</v>
      </c>
      <c r="C54" s="324">
        <v>1019</v>
      </c>
      <c r="D54" s="324">
        <v>975</v>
      </c>
      <c r="E54" s="324">
        <v>2274</v>
      </c>
      <c r="F54" s="324">
        <v>1876</v>
      </c>
    </row>
    <row r="55" spans="1:6" x14ac:dyDescent="0.3">
      <c r="A55" s="210" t="s">
        <v>819</v>
      </c>
      <c r="B55" s="324">
        <v>178</v>
      </c>
      <c r="C55" s="324">
        <v>275</v>
      </c>
      <c r="D55" s="324">
        <v>224</v>
      </c>
      <c r="E55" s="324">
        <v>208</v>
      </c>
      <c r="F55" s="324">
        <v>203</v>
      </c>
    </row>
    <row r="56" spans="1:6" x14ac:dyDescent="0.3">
      <c r="A56" s="210" t="s">
        <v>820</v>
      </c>
      <c r="B56" s="324">
        <v>1131</v>
      </c>
      <c r="C56" s="324">
        <v>1380</v>
      </c>
      <c r="D56" s="324">
        <v>1374</v>
      </c>
      <c r="E56" s="324">
        <v>1251</v>
      </c>
      <c r="F56" s="324">
        <v>979</v>
      </c>
    </row>
    <row r="57" spans="1:6" x14ac:dyDescent="0.3">
      <c r="A57" s="210" t="s">
        <v>821</v>
      </c>
      <c r="B57" s="324">
        <v>563</v>
      </c>
      <c r="C57" s="324">
        <v>621</v>
      </c>
      <c r="D57" s="324">
        <v>691</v>
      </c>
      <c r="E57" s="324">
        <v>773</v>
      </c>
      <c r="F57" s="324">
        <v>770</v>
      </c>
    </row>
    <row r="58" spans="1:6" x14ac:dyDescent="0.3">
      <c r="A58" s="210" t="s">
        <v>822</v>
      </c>
      <c r="B58" s="324">
        <v>359</v>
      </c>
      <c r="C58" s="324">
        <v>504</v>
      </c>
      <c r="D58" s="324">
        <v>553</v>
      </c>
      <c r="E58" s="324">
        <v>141</v>
      </c>
      <c r="F58" s="324">
        <v>3</v>
      </c>
    </row>
    <row r="59" spans="1:6" x14ac:dyDescent="0.3">
      <c r="A59" s="210" t="s">
        <v>823</v>
      </c>
      <c r="B59" s="214" t="s">
        <v>765</v>
      </c>
      <c r="C59" s="214" t="s">
        <v>765</v>
      </c>
      <c r="D59" s="324">
        <v>5</v>
      </c>
      <c r="E59" s="214" t="s">
        <v>765</v>
      </c>
      <c r="F59" s="324">
        <v>8</v>
      </c>
    </row>
    <row r="60" spans="1:6" x14ac:dyDescent="0.3">
      <c r="A60" s="210" t="s">
        <v>824</v>
      </c>
      <c r="B60" s="214" t="s">
        <v>765</v>
      </c>
      <c r="C60" s="214" t="s">
        <v>765</v>
      </c>
      <c r="D60" s="214" t="s">
        <v>765</v>
      </c>
      <c r="E60" s="214" t="s">
        <v>765</v>
      </c>
      <c r="F60" s="324">
        <v>11704</v>
      </c>
    </row>
    <row r="61" spans="1:6" x14ac:dyDescent="0.3">
      <c r="A61" s="210" t="s">
        <v>825</v>
      </c>
      <c r="B61" s="324">
        <v>1980</v>
      </c>
      <c r="C61" s="324">
        <v>129</v>
      </c>
      <c r="D61" s="214" t="s">
        <v>765</v>
      </c>
      <c r="E61" s="214" t="s">
        <v>765</v>
      </c>
      <c r="F61" s="214" t="s">
        <v>765</v>
      </c>
    </row>
    <row r="62" spans="1:6" x14ac:dyDescent="0.3">
      <c r="A62" s="210" t="s">
        <v>826</v>
      </c>
      <c r="B62" s="324">
        <v>97</v>
      </c>
      <c r="C62" s="324">
        <v>141</v>
      </c>
      <c r="D62" s="324">
        <v>1189</v>
      </c>
      <c r="E62" s="324">
        <v>217</v>
      </c>
      <c r="F62" s="324">
        <v>203</v>
      </c>
    </row>
    <row r="63" spans="1:6" x14ac:dyDescent="0.3">
      <c r="A63" s="210" t="s">
        <v>827</v>
      </c>
      <c r="B63" s="324">
        <v>10035</v>
      </c>
      <c r="C63" s="324">
        <v>9899</v>
      </c>
      <c r="D63" s="324">
        <v>10090</v>
      </c>
      <c r="E63" s="324">
        <v>9676</v>
      </c>
      <c r="F63" s="324">
        <v>21894</v>
      </c>
    </row>
    <row r="64" spans="1:6" x14ac:dyDescent="0.3">
      <c r="A64" s="323" t="s">
        <v>828</v>
      </c>
      <c r="B64" s="210"/>
      <c r="C64" s="210"/>
      <c r="D64" s="210"/>
      <c r="E64" s="210"/>
      <c r="F64" s="210"/>
    </row>
    <row r="65" spans="1:6" x14ac:dyDescent="0.3">
      <c r="A65" s="210" t="s">
        <v>829</v>
      </c>
      <c r="B65" s="324">
        <v>21068</v>
      </c>
      <c r="C65" s="324">
        <v>24548</v>
      </c>
      <c r="D65" s="324">
        <v>27759</v>
      </c>
      <c r="E65" s="324">
        <v>31558</v>
      </c>
      <c r="F65" s="324">
        <v>28979</v>
      </c>
    </row>
    <row r="66" spans="1:6" x14ac:dyDescent="0.3">
      <c r="A66" s="210" t="s">
        <v>830</v>
      </c>
      <c r="B66" s="324">
        <v>687</v>
      </c>
      <c r="C66" s="324">
        <v>410</v>
      </c>
      <c r="D66" s="324">
        <v>407</v>
      </c>
      <c r="E66" s="324">
        <v>168</v>
      </c>
      <c r="F66" s="324">
        <v>124</v>
      </c>
    </row>
    <row r="67" spans="1:6" x14ac:dyDescent="0.3">
      <c r="A67" s="210" t="s">
        <v>805</v>
      </c>
      <c r="B67" s="324">
        <v>3477</v>
      </c>
      <c r="C67" s="324">
        <v>4591</v>
      </c>
      <c r="D67" s="324">
        <v>5254</v>
      </c>
      <c r="E67" s="324">
        <v>5845</v>
      </c>
      <c r="F67" s="324">
        <v>6127</v>
      </c>
    </row>
    <row r="68" spans="1:6" x14ac:dyDescent="0.3">
      <c r="A68" s="210" t="s">
        <v>831</v>
      </c>
      <c r="B68" s="324">
        <v>20</v>
      </c>
      <c r="C68" s="324">
        <v>20</v>
      </c>
      <c r="D68" s="324">
        <v>20</v>
      </c>
      <c r="E68" s="324">
        <v>20</v>
      </c>
      <c r="F68" s="324">
        <v>20</v>
      </c>
    </row>
    <row r="69" spans="1:6" x14ac:dyDescent="0.3">
      <c r="A69" s="210" t="s">
        <v>832</v>
      </c>
      <c r="B69" s="324">
        <v>1418</v>
      </c>
      <c r="C69" s="324">
        <v>2121</v>
      </c>
      <c r="D69" s="324">
        <v>4959</v>
      </c>
      <c r="E69" s="324">
        <v>6546</v>
      </c>
      <c r="F69" s="324">
        <v>7179</v>
      </c>
    </row>
    <row r="70" spans="1:6" x14ac:dyDescent="0.3">
      <c r="A70" s="210" t="s">
        <v>833</v>
      </c>
      <c r="B70" s="214" t="s">
        <v>765</v>
      </c>
      <c r="C70" s="214" t="s">
        <v>765</v>
      </c>
      <c r="D70" s="214" t="s">
        <v>765</v>
      </c>
      <c r="E70" s="214" t="s">
        <v>765</v>
      </c>
      <c r="F70" s="324">
        <v>3206</v>
      </c>
    </row>
    <row r="71" spans="1:6" x14ac:dyDescent="0.3">
      <c r="A71" s="210" t="s">
        <v>834</v>
      </c>
      <c r="B71" s="324">
        <v>889</v>
      </c>
      <c r="C71" s="324">
        <v>889</v>
      </c>
      <c r="D71" s="324">
        <v>889</v>
      </c>
      <c r="E71" s="324">
        <v>889</v>
      </c>
      <c r="F71" s="214" t="s">
        <v>765</v>
      </c>
    </row>
    <row r="72" spans="1:6" x14ac:dyDescent="0.3">
      <c r="A72" s="210" t="s">
        <v>835</v>
      </c>
      <c r="B72" s="324">
        <v>2070</v>
      </c>
      <c r="C72" s="324">
        <v>2117</v>
      </c>
      <c r="D72" s="324">
        <v>2329</v>
      </c>
      <c r="E72" s="324">
        <v>2708</v>
      </c>
      <c r="F72" s="324">
        <v>2805</v>
      </c>
    </row>
    <row r="73" spans="1:6" x14ac:dyDescent="0.3">
      <c r="A73" s="210" t="s">
        <v>836</v>
      </c>
      <c r="B73" s="324">
        <v>3375</v>
      </c>
      <c r="C73" s="324">
        <v>3546</v>
      </c>
      <c r="D73" s="324">
        <v>3642</v>
      </c>
      <c r="E73" s="324">
        <v>3737</v>
      </c>
      <c r="F73" s="324">
        <v>3743</v>
      </c>
    </row>
    <row r="74" spans="1:6" x14ac:dyDescent="0.3">
      <c r="A74" s="210" t="s">
        <v>822</v>
      </c>
      <c r="B74" s="324">
        <v>3402</v>
      </c>
      <c r="C74" s="324">
        <v>3341</v>
      </c>
      <c r="D74" s="324">
        <v>3739</v>
      </c>
      <c r="E74" s="324">
        <v>3817</v>
      </c>
      <c r="F74" s="324">
        <v>4250</v>
      </c>
    </row>
    <row r="75" spans="1:6" x14ac:dyDescent="0.3">
      <c r="A75" s="210" t="s">
        <v>823</v>
      </c>
      <c r="B75" s="324">
        <v>287</v>
      </c>
      <c r="C75" s="324">
        <v>301</v>
      </c>
      <c r="D75" s="324">
        <v>307</v>
      </c>
      <c r="E75" s="324">
        <v>352</v>
      </c>
      <c r="F75" s="214" t="s">
        <v>765</v>
      </c>
    </row>
    <row r="76" spans="1:6" x14ac:dyDescent="0.3">
      <c r="A76" s="210" t="s">
        <v>826</v>
      </c>
      <c r="B76" s="324">
        <v>225</v>
      </c>
      <c r="C76" s="324">
        <v>565</v>
      </c>
      <c r="D76" s="214" t="s">
        <v>765</v>
      </c>
      <c r="E76" s="324">
        <v>506</v>
      </c>
      <c r="F76" s="324">
        <v>957</v>
      </c>
    </row>
    <row r="77" spans="1:6" x14ac:dyDescent="0.3">
      <c r="A77" s="323" t="s">
        <v>837</v>
      </c>
      <c r="B77" s="210"/>
      <c r="C77" s="210"/>
      <c r="D77" s="210"/>
      <c r="E77" s="210"/>
      <c r="F77" s="210"/>
    </row>
    <row r="78" spans="1:6" x14ac:dyDescent="0.3">
      <c r="A78" s="210" t="s">
        <v>838</v>
      </c>
      <c r="B78" s="324">
        <v>11862</v>
      </c>
      <c r="C78" s="324">
        <v>12160</v>
      </c>
      <c r="D78" s="324">
        <v>12204</v>
      </c>
      <c r="E78" s="324">
        <v>13520</v>
      </c>
      <c r="F78" s="324">
        <v>14699</v>
      </c>
    </row>
    <row r="79" spans="1:6" x14ac:dyDescent="0.3">
      <c r="A79" s="210" t="s">
        <v>839</v>
      </c>
      <c r="B79" s="324">
        <v>13548</v>
      </c>
      <c r="C79" s="324">
        <v>14201</v>
      </c>
      <c r="D79" s="324">
        <v>15732</v>
      </c>
      <c r="E79" s="324">
        <v>16979</v>
      </c>
      <c r="F79" s="324">
        <v>17092</v>
      </c>
    </row>
    <row r="80" spans="1:6" x14ac:dyDescent="0.3">
      <c r="A80" s="210" t="s">
        <v>840</v>
      </c>
      <c r="B80" s="324">
        <v>-318</v>
      </c>
      <c r="C80" s="324">
        <v>-135</v>
      </c>
      <c r="D80" s="324">
        <v>-150</v>
      </c>
      <c r="E80" s="324">
        <v>-166</v>
      </c>
      <c r="F80" s="324">
        <v>-197</v>
      </c>
    </row>
    <row r="81" spans="1:6" x14ac:dyDescent="0.3">
      <c r="A81" s="210" t="s">
        <v>841</v>
      </c>
      <c r="B81" s="324">
        <v>25981</v>
      </c>
      <c r="C81" s="324">
        <v>27115</v>
      </c>
      <c r="D81" s="324">
        <v>28675</v>
      </c>
      <c r="E81" s="324">
        <v>31222</v>
      </c>
      <c r="F81" s="324">
        <v>31594</v>
      </c>
    </row>
    <row r="82" spans="1:6" x14ac:dyDescent="0.3">
      <c r="A82" s="210" t="s">
        <v>842</v>
      </c>
      <c r="B82" s="324">
        <v>72045</v>
      </c>
      <c r="C82" s="324">
        <v>78574</v>
      </c>
      <c r="D82" s="324">
        <v>87181</v>
      </c>
      <c r="E82" s="324">
        <v>96155</v>
      </c>
      <c r="F82" s="324">
        <v>110878</v>
      </c>
    </row>
    <row r="83" spans="1:6" x14ac:dyDescent="0.3">
      <c r="A83" s="210"/>
    </row>
    <row r="84" spans="1:6" x14ac:dyDescent="0.3">
      <c r="A84" s="211"/>
    </row>
    <row r="85" spans="1:6" x14ac:dyDescent="0.3">
      <c r="A85" s="466" t="s">
        <v>843</v>
      </c>
      <c r="B85" s="466"/>
      <c r="C85" s="466"/>
      <c r="D85" s="466"/>
      <c r="E85" s="466"/>
      <c r="F85" s="466"/>
    </row>
  </sheetData>
  <mergeCells count="4">
    <mergeCell ref="A1:D1"/>
    <mergeCell ref="A2:L2"/>
    <mergeCell ref="A11:F11"/>
    <mergeCell ref="A85:F85"/>
  </mergeCells>
  <pageMargins left="0.7" right="0.7" top="0.75" bottom="0.75" header="0.3" footer="0.3"/>
  <pageSetup orientation="landscape"/>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30DB25-B9BF-4649-AAED-2E1C3A7AC213}">
  <dimension ref="A1:EG77"/>
  <sheetViews>
    <sheetView topLeftCell="A8" zoomScale="75" workbookViewId="0">
      <selection activeCell="J47" sqref="J47"/>
    </sheetView>
  </sheetViews>
  <sheetFormatPr defaultColWidth="8.88671875" defaultRowHeight="14.4" x14ac:dyDescent="0.3"/>
  <cols>
    <col min="1" max="1" width="48.44140625" customWidth="1"/>
    <col min="2" max="2" width="18.109375" customWidth="1"/>
    <col min="3" max="137" width="16.109375" customWidth="1"/>
  </cols>
  <sheetData>
    <row r="1" spans="1:137" ht="39.9" customHeight="1" x14ac:dyDescent="0.3">
      <c r="A1" s="464"/>
      <c r="B1" s="464"/>
      <c r="C1" s="464"/>
      <c r="D1" s="464"/>
    </row>
    <row r="2" spans="1:137" ht="30" customHeight="1" x14ac:dyDescent="0.35">
      <c r="A2" s="465" t="s">
        <v>844</v>
      </c>
      <c r="B2" s="465"/>
      <c r="C2" s="465"/>
      <c r="D2" s="465"/>
      <c r="E2" s="465"/>
      <c r="F2" s="465"/>
      <c r="G2" s="465"/>
      <c r="H2" s="465"/>
      <c r="I2" s="465"/>
      <c r="J2" s="465"/>
      <c r="K2" s="465"/>
      <c r="L2" s="465"/>
      <c r="M2" s="465"/>
      <c r="N2" s="465"/>
      <c r="O2" s="465"/>
      <c r="P2" s="465"/>
      <c r="Q2" s="465"/>
      <c r="R2" s="465"/>
      <c r="S2" s="465"/>
      <c r="T2" s="465"/>
      <c r="U2" s="465"/>
      <c r="V2" s="465"/>
      <c r="W2" s="465"/>
      <c r="X2" s="465"/>
      <c r="Y2" s="465"/>
      <c r="Z2" s="465"/>
      <c r="AA2" s="465"/>
      <c r="AB2" s="465"/>
      <c r="AC2" s="465"/>
      <c r="AD2" s="465"/>
      <c r="AE2" s="465"/>
      <c r="AF2" s="465"/>
      <c r="AG2" s="465"/>
      <c r="AH2" s="465"/>
      <c r="AI2" s="465"/>
      <c r="AJ2" s="465"/>
      <c r="AK2" s="465"/>
      <c r="AL2" s="465"/>
      <c r="AM2" s="465"/>
      <c r="AN2" s="465"/>
      <c r="AO2" s="465"/>
      <c r="AP2" s="465"/>
      <c r="AQ2" s="465"/>
      <c r="AR2" s="465"/>
      <c r="AS2" s="465"/>
      <c r="AT2" s="465"/>
      <c r="AU2" s="465"/>
      <c r="AV2" s="465"/>
      <c r="AW2" s="465"/>
      <c r="AX2" s="465"/>
      <c r="AY2" s="465"/>
      <c r="AZ2" s="465"/>
      <c r="BA2" s="465"/>
      <c r="BB2" s="465"/>
      <c r="BC2" s="465"/>
      <c r="BD2" s="465"/>
      <c r="BE2" s="465"/>
      <c r="BF2" s="465"/>
      <c r="BG2" s="465"/>
      <c r="BH2" s="465"/>
      <c r="BI2" s="465"/>
      <c r="BJ2" s="465"/>
      <c r="BK2" s="465"/>
      <c r="BL2" s="465"/>
      <c r="BM2" s="465"/>
      <c r="BN2" s="465"/>
      <c r="BO2" s="465"/>
      <c r="BP2" s="465"/>
      <c r="BQ2" s="465"/>
      <c r="BR2" s="465"/>
      <c r="BS2" s="465"/>
      <c r="BT2" s="465"/>
      <c r="BU2" s="465"/>
      <c r="BV2" s="465"/>
      <c r="BW2" s="465"/>
      <c r="BX2" s="465"/>
      <c r="BY2" s="465"/>
      <c r="BZ2" s="465"/>
      <c r="CA2" s="465"/>
      <c r="CB2" s="465"/>
      <c r="CC2" s="465"/>
      <c r="CD2" s="465"/>
      <c r="CE2" s="465"/>
      <c r="CF2" s="465"/>
      <c r="CG2" s="465"/>
      <c r="CH2" s="465"/>
      <c r="CI2" s="465"/>
      <c r="CJ2" s="465"/>
      <c r="CK2" s="465"/>
      <c r="CL2" s="465"/>
      <c r="CM2" s="465"/>
      <c r="CN2" s="465"/>
      <c r="CO2" s="465"/>
      <c r="CP2" s="465"/>
      <c r="CQ2" s="465"/>
      <c r="CR2" s="465"/>
      <c r="CS2" s="465"/>
      <c r="CT2" s="465"/>
      <c r="CU2" s="465"/>
      <c r="CV2" s="465"/>
      <c r="CW2" s="465"/>
      <c r="CX2" s="465"/>
      <c r="CY2" s="465"/>
      <c r="CZ2" s="465"/>
      <c r="DA2" s="465"/>
      <c r="DB2" s="465"/>
      <c r="DC2" s="465"/>
      <c r="DD2" s="465"/>
      <c r="DE2" s="465"/>
      <c r="DF2" s="465"/>
      <c r="DG2" s="465"/>
      <c r="DH2" s="465"/>
      <c r="DI2" s="465"/>
      <c r="DJ2" s="465"/>
      <c r="DK2" s="465"/>
      <c r="DL2" s="465"/>
      <c r="DM2" s="465"/>
      <c r="DN2" s="465"/>
      <c r="DO2" s="465"/>
      <c r="DP2" s="465"/>
      <c r="DQ2" s="465"/>
      <c r="DR2" s="465"/>
      <c r="DS2" s="465"/>
      <c r="DT2" s="465"/>
      <c r="DU2" s="465"/>
      <c r="DV2" s="465"/>
      <c r="DW2" s="465"/>
      <c r="DX2" s="465"/>
      <c r="DY2" s="465"/>
      <c r="DZ2" s="465"/>
      <c r="EA2" s="465"/>
      <c r="EB2" s="465"/>
      <c r="EC2" s="465"/>
      <c r="ED2" s="465"/>
      <c r="EE2" s="465"/>
      <c r="EF2" s="465"/>
      <c r="EG2" s="465"/>
    </row>
    <row r="3" spans="1:137" x14ac:dyDescent="0.3">
      <c r="A3" s="210" t="s">
        <v>746</v>
      </c>
    </row>
    <row r="5" spans="1:137" x14ac:dyDescent="0.3">
      <c r="A5" s="210" t="s">
        <v>845</v>
      </c>
      <c r="B5" s="211"/>
    </row>
    <row r="6" spans="1:137" x14ac:dyDescent="0.3">
      <c r="A6" s="210" t="s">
        <v>846</v>
      </c>
      <c r="B6" s="211"/>
    </row>
    <row r="7" spans="1:137" x14ac:dyDescent="0.3">
      <c r="A7" s="210" t="s">
        <v>847</v>
      </c>
      <c r="B7" s="211"/>
    </row>
    <row r="8" spans="1:137" x14ac:dyDescent="0.3">
      <c r="A8" s="210" t="s">
        <v>751</v>
      </c>
      <c r="B8" s="211"/>
    </row>
    <row r="9" spans="1:137" x14ac:dyDescent="0.3">
      <c r="A9" s="466"/>
      <c r="B9" s="466"/>
      <c r="C9" s="466"/>
      <c r="D9" s="466"/>
      <c r="E9" s="466"/>
      <c r="F9" s="466"/>
      <c r="G9" s="466"/>
      <c r="H9" s="466"/>
      <c r="I9" s="466"/>
      <c r="J9" s="466"/>
      <c r="K9" s="466"/>
      <c r="L9" s="466"/>
      <c r="M9" s="466"/>
      <c r="N9" s="466"/>
      <c r="O9" s="466"/>
      <c r="P9" s="466"/>
      <c r="Q9" s="466"/>
      <c r="R9" s="466"/>
      <c r="S9" s="466"/>
      <c r="T9" s="466"/>
      <c r="U9" s="466"/>
      <c r="V9" s="466"/>
      <c r="W9" s="466"/>
      <c r="X9" s="466"/>
      <c r="Y9" s="466"/>
      <c r="Z9" s="466"/>
      <c r="AA9" s="466"/>
      <c r="AB9" s="466"/>
      <c r="AC9" s="466"/>
      <c r="AD9" s="466"/>
      <c r="AE9" s="466"/>
      <c r="AF9" s="466"/>
      <c r="AG9" s="466"/>
      <c r="AH9" s="466"/>
      <c r="AI9" s="466"/>
      <c r="AJ9" s="466"/>
      <c r="AK9" s="466"/>
      <c r="AL9" s="466"/>
      <c r="AM9" s="466"/>
      <c r="AN9" s="466"/>
      <c r="AO9" s="466"/>
      <c r="AP9" s="466"/>
      <c r="AQ9" s="466"/>
      <c r="AR9" s="466"/>
      <c r="AS9" s="466"/>
      <c r="AT9" s="466"/>
      <c r="AU9" s="466"/>
      <c r="AV9" s="466"/>
      <c r="AW9" s="466"/>
      <c r="AX9" s="466"/>
      <c r="AY9" s="466"/>
      <c r="AZ9" s="466"/>
      <c r="BA9" s="466"/>
      <c r="BB9" s="466"/>
      <c r="BC9" s="466"/>
      <c r="BD9" s="466"/>
      <c r="BE9" s="466"/>
      <c r="BF9" s="466"/>
      <c r="BG9" s="466"/>
      <c r="BH9" s="466"/>
      <c r="BI9" s="466"/>
      <c r="BJ9" s="466"/>
      <c r="BK9" s="466"/>
      <c r="BL9" s="466"/>
      <c r="BM9" s="466"/>
      <c r="BN9" s="466"/>
      <c r="BO9" s="466"/>
      <c r="BP9" s="466"/>
      <c r="BQ9" s="466"/>
      <c r="BR9" s="466"/>
      <c r="BS9" s="466"/>
      <c r="BT9" s="466"/>
      <c r="BU9" s="466"/>
      <c r="BV9" s="466"/>
      <c r="BW9" s="466"/>
      <c r="BX9" s="466"/>
      <c r="BY9" s="466"/>
      <c r="BZ9" s="466"/>
      <c r="CA9" s="466"/>
      <c r="CB9" s="466"/>
      <c r="CC9" s="466"/>
      <c r="CD9" s="466"/>
      <c r="CE9" s="466"/>
      <c r="CF9" s="466"/>
      <c r="CG9" s="466"/>
      <c r="CH9" s="466"/>
      <c r="CI9" s="466"/>
      <c r="CJ9" s="466"/>
      <c r="CK9" s="466"/>
      <c r="CL9" s="466"/>
      <c r="CM9" s="466"/>
      <c r="CN9" s="466"/>
      <c r="CO9" s="466"/>
      <c r="CP9" s="466"/>
      <c r="CQ9" s="466"/>
      <c r="CR9" s="466"/>
      <c r="CS9" s="466"/>
      <c r="CT9" s="466"/>
      <c r="CU9" s="466"/>
      <c r="CV9" s="466"/>
      <c r="CW9" s="466"/>
      <c r="CX9" s="466"/>
      <c r="CY9" s="466"/>
      <c r="CZ9" s="466"/>
      <c r="DA9" s="466"/>
      <c r="DB9" s="466"/>
      <c r="DC9" s="466"/>
      <c r="DD9" s="466"/>
      <c r="DE9" s="466"/>
      <c r="DF9" s="466"/>
      <c r="DG9" s="466"/>
      <c r="DH9" s="466"/>
      <c r="DI9" s="466"/>
      <c r="DJ9" s="466"/>
      <c r="DK9" s="466"/>
      <c r="DL9" s="466"/>
      <c r="DM9" s="466"/>
      <c r="DN9" s="466"/>
      <c r="DO9" s="466"/>
      <c r="DP9" s="466"/>
      <c r="DQ9" s="466"/>
      <c r="DR9" s="466"/>
      <c r="DS9" s="466"/>
      <c r="DT9" s="466"/>
      <c r="DU9" s="466"/>
      <c r="DV9" s="466"/>
      <c r="DW9" s="466"/>
      <c r="DX9" s="466"/>
      <c r="DY9" s="466"/>
      <c r="DZ9" s="466"/>
      <c r="EA9" s="466"/>
      <c r="EB9" s="466"/>
      <c r="EC9" s="466"/>
      <c r="ED9" s="466"/>
      <c r="EE9" s="466"/>
      <c r="EF9" s="466"/>
      <c r="EG9" s="466"/>
    </row>
    <row r="10" spans="1:137" x14ac:dyDescent="0.3">
      <c r="A10" s="212" t="s">
        <v>848</v>
      </c>
      <c r="B10" s="213" t="s">
        <v>190</v>
      </c>
      <c r="C10" s="213" t="s">
        <v>849</v>
      </c>
      <c r="D10" s="213" t="s">
        <v>850</v>
      </c>
      <c r="E10" s="213" t="s">
        <v>851</v>
      </c>
      <c r="F10" s="213" t="s">
        <v>852</v>
      </c>
      <c r="G10" s="213" t="s">
        <v>853</v>
      </c>
      <c r="H10" s="213" t="s">
        <v>854</v>
      </c>
      <c r="I10" s="213" t="s">
        <v>855</v>
      </c>
      <c r="J10" s="213" t="s">
        <v>856</v>
      </c>
      <c r="K10" s="213" t="s">
        <v>857</v>
      </c>
      <c r="L10" s="213" t="s">
        <v>858</v>
      </c>
      <c r="M10" s="213" t="s">
        <v>859</v>
      </c>
      <c r="N10" s="213" t="s">
        <v>860</v>
      </c>
      <c r="O10" s="213" t="s">
        <v>861</v>
      </c>
      <c r="P10" s="213" t="s">
        <v>862</v>
      </c>
      <c r="Q10" s="213" t="s">
        <v>863</v>
      </c>
      <c r="R10" s="213" t="s">
        <v>864</v>
      </c>
      <c r="S10" s="213" t="s">
        <v>865</v>
      </c>
      <c r="T10" s="213" t="s">
        <v>866</v>
      </c>
      <c r="U10" s="213" t="s">
        <v>867</v>
      </c>
      <c r="V10" s="213" t="s">
        <v>868</v>
      </c>
      <c r="W10" s="213" t="s">
        <v>869</v>
      </c>
      <c r="X10" s="213" t="s">
        <v>870</v>
      </c>
      <c r="Y10" s="213" t="s">
        <v>871</v>
      </c>
      <c r="Z10" s="213" t="s">
        <v>872</v>
      </c>
      <c r="AA10" s="213" t="s">
        <v>873</v>
      </c>
      <c r="AB10" s="213" t="s">
        <v>874</v>
      </c>
      <c r="AC10" s="213" t="s">
        <v>875</v>
      </c>
      <c r="AD10" s="213" t="s">
        <v>876</v>
      </c>
      <c r="AE10" s="213" t="s">
        <v>877</v>
      </c>
      <c r="AF10" s="213" t="s">
        <v>878</v>
      </c>
      <c r="AG10" s="213" t="s">
        <v>879</v>
      </c>
      <c r="AH10" s="213" t="s">
        <v>880</v>
      </c>
      <c r="AI10" s="213" t="s">
        <v>881</v>
      </c>
      <c r="AJ10" s="213" t="s">
        <v>882</v>
      </c>
      <c r="AK10" s="213" t="s">
        <v>883</v>
      </c>
      <c r="AL10" s="213" t="s">
        <v>884</v>
      </c>
      <c r="AM10" s="213" t="s">
        <v>885</v>
      </c>
      <c r="AN10" s="213" t="s">
        <v>886</v>
      </c>
      <c r="AO10" s="213" t="s">
        <v>887</v>
      </c>
      <c r="AP10" s="213" t="s">
        <v>888</v>
      </c>
      <c r="AQ10" s="213" t="s">
        <v>889</v>
      </c>
      <c r="AR10" s="213" t="s">
        <v>890</v>
      </c>
      <c r="AS10" s="213" t="s">
        <v>891</v>
      </c>
      <c r="AT10" s="213" t="s">
        <v>892</v>
      </c>
      <c r="AU10" s="213" t="s">
        <v>893</v>
      </c>
      <c r="AV10" s="213" t="s">
        <v>894</v>
      </c>
      <c r="AW10" s="213" t="s">
        <v>895</v>
      </c>
      <c r="AX10" s="213" t="s">
        <v>896</v>
      </c>
      <c r="AY10" s="213" t="s">
        <v>897</v>
      </c>
      <c r="AZ10" s="213" t="s">
        <v>898</v>
      </c>
      <c r="BA10" s="213" t="s">
        <v>899</v>
      </c>
      <c r="BB10" s="213" t="s">
        <v>900</v>
      </c>
      <c r="BC10" s="213" t="s">
        <v>901</v>
      </c>
      <c r="BD10" s="213" t="s">
        <v>902</v>
      </c>
      <c r="BE10" s="213" t="s">
        <v>903</v>
      </c>
      <c r="BF10" s="213" t="s">
        <v>904</v>
      </c>
      <c r="BG10" s="213" t="s">
        <v>905</v>
      </c>
      <c r="BH10" s="213" t="s">
        <v>906</v>
      </c>
      <c r="BI10" s="213" t="s">
        <v>907</v>
      </c>
      <c r="BJ10" s="213" t="s">
        <v>908</v>
      </c>
      <c r="BK10" s="213" t="s">
        <v>909</v>
      </c>
      <c r="BL10" s="213" t="s">
        <v>910</v>
      </c>
      <c r="BM10" s="213" t="s">
        <v>911</v>
      </c>
      <c r="BN10" s="213" t="s">
        <v>912</v>
      </c>
      <c r="BO10" s="213" t="s">
        <v>913</v>
      </c>
      <c r="BP10" s="213" t="s">
        <v>914</v>
      </c>
      <c r="BQ10" s="213" t="s">
        <v>915</v>
      </c>
      <c r="BR10" s="213" t="s">
        <v>916</v>
      </c>
      <c r="BS10" s="213" t="s">
        <v>917</v>
      </c>
      <c r="BT10" s="213" t="s">
        <v>918</v>
      </c>
      <c r="BU10" s="213" t="s">
        <v>919</v>
      </c>
      <c r="BV10" s="213" t="s">
        <v>920</v>
      </c>
      <c r="BW10" s="213" t="s">
        <v>921</v>
      </c>
      <c r="BX10" s="213" t="s">
        <v>922</v>
      </c>
      <c r="BY10" s="213" t="s">
        <v>923</v>
      </c>
      <c r="BZ10" s="213" t="s">
        <v>924</v>
      </c>
      <c r="CA10" s="213" t="s">
        <v>925</v>
      </c>
      <c r="CB10" s="213" t="s">
        <v>926</v>
      </c>
      <c r="CC10" s="213" t="s">
        <v>927</v>
      </c>
      <c r="CD10" s="213" t="s">
        <v>928</v>
      </c>
      <c r="CE10" s="213" t="s">
        <v>929</v>
      </c>
      <c r="CF10" s="213" t="s">
        <v>930</v>
      </c>
      <c r="CG10" s="213" t="s">
        <v>931</v>
      </c>
      <c r="CH10" s="213" t="s">
        <v>932</v>
      </c>
      <c r="CI10" s="213" t="s">
        <v>933</v>
      </c>
      <c r="CJ10" s="213" t="s">
        <v>934</v>
      </c>
      <c r="CK10" s="213" t="s">
        <v>935</v>
      </c>
      <c r="CL10" s="213" t="s">
        <v>936</v>
      </c>
      <c r="CM10" s="213" t="s">
        <v>937</v>
      </c>
      <c r="CN10" s="213" t="s">
        <v>938</v>
      </c>
      <c r="CO10" s="213" t="s">
        <v>939</v>
      </c>
      <c r="CP10" s="213" t="s">
        <v>940</v>
      </c>
      <c r="CQ10" s="213" t="s">
        <v>941</v>
      </c>
      <c r="CR10" s="213" t="s">
        <v>942</v>
      </c>
      <c r="CS10" s="213" t="s">
        <v>943</v>
      </c>
      <c r="CT10" s="213" t="s">
        <v>944</v>
      </c>
      <c r="CU10" s="213" t="s">
        <v>945</v>
      </c>
      <c r="CV10" s="213" t="s">
        <v>946</v>
      </c>
      <c r="CW10" s="213" t="s">
        <v>947</v>
      </c>
      <c r="CX10" s="213" t="s">
        <v>948</v>
      </c>
      <c r="CY10" s="213" t="s">
        <v>949</v>
      </c>
      <c r="CZ10" s="213" t="s">
        <v>950</v>
      </c>
      <c r="DA10" s="213" t="s">
        <v>951</v>
      </c>
      <c r="DB10" s="213" t="s">
        <v>952</v>
      </c>
      <c r="DC10" s="213" t="s">
        <v>953</v>
      </c>
      <c r="DD10" s="213" t="s">
        <v>954</v>
      </c>
      <c r="DE10" s="213" t="s">
        <v>955</v>
      </c>
      <c r="DF10" s="213" t="s">
        <v>956</v>
      </c>
      <c r="DG10" s="213" t="s">
        <v>957</v>
      </c>
      <c r="DH10" s="213" t="s">
        <v>958</v>
      </c>
      <c r="DI10" s="213" t="s">
        <v>959</v>
      </c>
      <c r="DJ10" s="213" t="s">
        <v>960</v>
      </c>
      <c r="DK10" s="213" t="s">
        <v>961</v>
      </c>
      <c r="DL10" s="213" t="s">
        <v>962</v>
      </c>
      <c r="DM10" s="213" t="s">
        <v>963</v>
      </c>
      <c r="DN10" s="213" t="s">
        <v>964</v>
      </c>
      <c r="DO10" s="213" t="s">
        <v>965</v>
      </c>
      <c r="DP10" s="213" t="s">
        <v>966</v>
      </c>
      <c r="DQ10" s="213" t="s">
        <v>967</v>
      </c>
      <c r="DR10" s="213" t="s">
        <v>968</v>
      </c>
      <c r="DS10" s="213" t="s">
        <v>969</v>
      </c>
      <c r="DT10" s="213" t="s">
        <v>970</v>
      </c>
      <c r="DU10" s="213" t="s">
        <v>971</v>
      </c>
      <c r="DV10" s="213" t="s">
        <v>972</v>
      </c>
      <c r="DW10" s="213" t="s">
        <v>973</v>
      </c>
      <c r="DX10" s="213" t="s">
        <v>974</v>
      </c>
      <c r="DY10" s="213" t="s">
        <v>975</v>
      </c>
      <c r="DZ10" s="213" t="s">
        <v>976</v>
      </c>
      <c r="EA10" s="213" t="s">
        <v>977</v>
      </c>
      <c r="EB10" s="213" t="s">
        <v>978</v>
      </c>
      <c r="EC10" s="213" t="s">
        <v>979</v>
      </c>
      <c r="ED10" s="213" t="s">
        <v>980</v>
      </c>
      <c r="EE10" s="213" t="s">
        <v>981</v>
      </c>
      <c r="EF10" s="213" t="s">
        <v>982</v>
      </c>
      <c r="EG10" s="213" t="s">
        <v>983</v>
      </c>
    </row>
    <row r="11" spans="1:137" x14ac:dyDescent="0.3">
      <c r="A11" s="210" t="s">
        <v>984</v>
      </c>
      <c r="B11" s="214" t="s">
        <v>205</v>
      </c>
      <c r="C11" s="215">
        <v>3.8</v>
      </c>
      <c r="D11" s="215">
        <v>3.74</v>
      </c>
      <c r="E11" s="215">
        <v>3.76</v>
      </c>
      <c r="F11" s="215">
        <v>3.75</v>
      </c>
      <c r="G11" s="215">
        <v>3.75</v>
      </c>
      <c r="H11" s="215">
        <v>3.68</v>
      </c>
      <c r="I11" s="215">
        <v>3.63</v>
      </c>
      <c r="J11" s="215">
        <v>3.76</v>
      </c>
      <c r="K11" s="215">
        <v>3.55</v>
      </c>
      <c r="L11" s="215">
        <v>3.73</v>
      </c>
      <c r="M11" s="215">
        <v>3.88</v>
      </c>
      <c r="N11" s="215">
        <v>3.74</v>
      </c>
      <c r="O11" s="215">
        <v>3.66</v>
      </c>
      <c r="P11" s="215">
        <v>3.77</v>
      </c>
      <c r="Q11" s="215">
        <v>3.92</v>
      </c>
      <c r="R11" s="215">
        <v>3.99</v>
      </c>
      <c r="S11" s="215">
        <v>4.09</v>
      </c>
      <c r="T11" s="215">
        <v>4.2300000000000004</v>
      </c>
      <c r="U11" s="215">
        <v>4.3099999999999996</v>
      </c>
      <c r="V11" s="215">
        <v>4.28</v>
      </c>
      <c r="W11" s="215">
        <v>4.29</v>
      </c>
      <c r="X11" s="215">
        <v>4.2300000000000004</v>
      </c>
      <c r="Y11" s="215">
        <v>4.25</v>
      </c>
      <c r="Z11" s="215">
        <v>4.28</v>
      </c>
      <c r="AA11" s="215">
        <v>4.3099999999999996</v>
      </c>
      <c r="AB11" s="215">
        <v>4.3899999999999997</v>
      </c>
      <c r="AC11" s="215">
        <v>4.59</v>
      </c>
      <c r="AD11" s="215">
        <v>4.62</v>
      </c>
      <c r="AE11" s="215">
        <v>4.53</v>
      </c>
      <c r="AF11" s="215">
        <v>4.55</v>
      </c>
      <c r="AG11" s="215">
        <v>4.4800000000000004</v>
      </c>
      <c r="AH11" s="215">
        <v>4.55</v>
      </c>
      <c r="AI11" s="215">
        <v>4.54</v>
      </c>
      <c r="AJ11" s="215">
        <v>4.4800000000000004</v>
      </c>
      <c r="AK11" s="215">
        <v>4.5999999999999996</v>
      </c>
      <c r="AL11" s="215">
        <v>4.45</v>
      </c>
      <c r="AM11" s="215">
        <v>4.32</v>
      </c>
      <c r="AN11" s="215">
        <v>4.34</v>
      </c>
      <c r="AO11" s="215">
        <v>4.5199999999999996</v>
      </c>
      <c r="AP11" s="215">
        <v>4.5599999999999996</v>
      </c>
      <c r="AQ11" s="215">
        <v>5.1100000000000003</v>
      </c>
      <c r="AR11" s="215">
        <v>5.37</v>
      </c>
      <c r="AS11" s="215">
        <v>5.52</v>
      </c>
      <c r="AT11" s="215">
        <v>5.54</v>
      </c>
      <c r="AU11" s="215">
        <v>5.55</v>
      </c>
      <c r="AV11" s="215">
        <v>5.52</v>
      </c>
      <c r="AW11" s="215">
        <v>5.4</v>
      </c>
      <c r="AX11" s="215">
        <v>5.38</v>
      </c>
      <c r="AY11" s="215">
        <v>5.35</v>
      </c>
      <c r="AZ11" s="215">
        <v>5.43</v>
      </c>
      <c r="BA11" s="215">
        <v>5.45</v>
      </c>
      <c r="BB11" s="215">
        <v>5.53</v>
      </c>
      <c r="BC11" s="215">
        <v>5.43</v>
      </c>
      <c r="BD11" s="215">
        <v>5.55</v>
      </c>
      <c r="BE11" s="215">
        <v>5.61</v>
      </c>
      <c r="BF11" s="215">
        <v>5.66</v>
      </c>
      <c r="BG11" s="215">
        <v>5.76</v>
      </c>
      <c r="BH11" s="215">
        <v>5.82</v>
      </c>
      <c r="BI11" s="215">
        <v>5.86</v>
      </c>
      <c r="BJ11" s="215">
        <v>5.94</v>
      </c>
      <c r="BK11" s="215">
        <v>6.06</v>
      </c>
      <c r="BL11" s="215">
        <v>6.19</v>
      </c>
      <c r="BM11" s="215">
        <v>6.01</v>
      </c>
      <c r="BN11" s="215">
        <v>6.1</v>
      </c>
      <c r="BO11" s="215">
        <v>6.08</v>
      </c>
      <c r="BP11" s="215">
        <v>6.1</v>
      </c>
      <c r="BQ11" s="215">
        <v>6.05</v>
      </c>
      <c r="BR11" s="215">
        <v>5.69</v>
      </c>
      <c r="BS11" s="215">
        <v>5.41</v>
      </c>
      <c r="BT11" s="215">
        <v>5.61</v>
      </c>
      <c r="BU11" s="215">
        <v>5.81</v>
      </c>
      <c r="BV11" s="215">
        <v>5.76</v>
      </c>
      <c r="BW11" s="215">
        <v>5.6</v>
      </c>
      <c r="BX11" s="215">
        <v>5.67</v>
      </c>
      <c r="BY11" s="215">
        <v>5.91</v>
      </c>
      <c r="BZ11" s="215">
        <v>6.15</v>
      </c>
      <c r="CA11" s="215">
        <v>5.94</v>
      </c>
      <c r="CB11" s="215">
        <v>5.94</v>
      </c>
      <c r="CC11" s="215">
        <v>5.79</v>
      </c>
      <c r="CD11" s="215">
        <v>5.82</v>
      </c>
      <c r="CE11" s="215">
        <v>5.82</v>
      </c>
      <c r="CF11" s="215">
        <v>5.71</v>
      </c>
      <c r="CG11" s="215">
        <v>5.49</v>
      </c>
      <c r="CH11" s="215">
        <v>5.53</v>
      </c>
      <c r="CI11" s="215">
        <v>5.74</v>
      </c>
      <c r="CJ11" s="215">
        <v>5.74</v>
      </c>
      <c r="CK11" s="215">
        <v>5.97</v>
      </c>
      <c r="CL11" s="215">
        <v>6.26</v>
      </c>
      <c r="CM11" s="215">
        <v>5.87</v>
      </c>
      <c r="CN11" s="215">
        <v>5.57</v>
      </c>
      <c r="CO11" s="215">
        <v>5.6</v>
      </c>
      <c r="CP11" s="215">
        <v>5.64</v>
      </c>
      <c r="CQ11" s="215">
        <v>5.6</v>
      </c>
      <c r="CR11" s="215">
        <v>5.18</v>
      </c>
      <c r="CS11" s="215">
        <v>5.31</v>
      </c>
      <c r="CT11" s="215">
        <v>5.39</v>
      </c>
      <c r="CU11" s="215">
        <v>5.34</v>
      </c>
      <c r="CV11" s="215">
        <v>5.32</v>
      </c>
      <c r="CW11" s="215">
        <v>5.45</v>
      </c>
      <c r="CX11" s="215">
        <v>5.63</v>
      </c>
      <c r="CY11" s="215">
        <v>4.7699999999999996</v>
      </c>
      <c r="CZ11" s="215">
        <v>4.59</v>
      </c>
      <c r="DA11" s="215">
        <v>4.62</v>
      </c>
      <c r="DB11" s="215">
        <v>4.6500000000000004</v>
      </c>
      <c r="DC11" s="215">
        <v>4.66</v>
      </c>
      <c r="DD11" s="215">
        <v>4.57</v>
      </c>
      <c r="DE11" s="215">
        <v>4.84</v>
      </c>
      <c r="DF11" s="215">
        <v>4.93</v>
      </c>
      <c r="DG11" s="215">
        <v>4.92</v>
      </c>
      <c r="DH11" s="215">
        <v>4.82</v>
      </c>
      <c r="DI11" s="215">
        <v>4.92</v>
      </c>
      <c r="DJ11" s="215">
        <v>4.92</v>
      </c>
      <c r="DK11" s="215">
        <v>6.02</v>
      </c>
      <c r="DL11" s="215">
        <v>6.22</v>
      </c>
      <c r="DM11" s="215">
        <v>6.28</v>
      </c>
      <c r="DN11" s="215">
        <v>6.67</v>
      </c>
      <c r="DO11" s="215">
        <v>6.84</v>
      </c>
      <c r="DP11" s="215">
        <v>6.88</v>
      </c>
      <c r="DQ11" s="215">
        <v>7.58</v>
      </c>
      <c r="DR11" s="215">
        <v>7.53</v>
      </c>
      <c r="DS11" s="215">
        <v>7.26</v>
      </c>
      <c r="DT11" s="215">
        <v>7.2</v>
      </c>
      <c r="DU11" s="215">
        <v>6.74</v>
      </c>
      <c r="DV11" s="215">
        <v>6.77</v>
      </c>
      <c r="DW11" s="215">
        <v>7.03</v>
      </c>
      <c r="DX11" s="215">
        <v>6.97</v>
      </c>
      <c r="DY11" s="215">
        <v>7.06</v>
      </c>
      <c r="DZ11" s="215">
        <v>7.44</v>
      </c>
      <c r="EA11" s="215">
        <v>7.58</v>
      </c>
      <c r="EB11" s="215">
        <v>7.96</v>
      </c>
      <c r="EC11" s="215">
        <v>7.51</v>
      </c>
      <c r="ED11" s="215">
        <v>7.28</v>
      </c>
      <c r="EE11" s="215">
        <v>7.24</v>
      </c>
      <c r="EF11" s="215">
        <v>7.42</v>
      </c>
      <c r="EG11" s="215">
        <v>7.87</v>
      </c>
    </row>
    <row r="12" spans="1:137" x14ac:dyDescent="0.3">
      <c r="A12" s="210" t="s">
        <v>190</v>
      </c>
      <c r="B12" s="214" t="s">
        <v>985</v>
      </c>
      <c r="C12" s="215">
        <v>3.86</v>
      </c>
      <c r="D12" s="215">
        <v>3.83</v>
      </c>
      <c r="E12" s="215">
        <v>3.84</v>
      </c>
      <c r="F12" s="215">
        <v>3.79</v>
      </c>
      <c r="G12" s="215">
        <v>3.79</v>
      </c>
      <c r="H12" s="215">
        <v>3.78</v>
      </c>
      <c r="I12" s="215">
        <v>3.7</v>
      </c>
      <c r="J12" s="215">
        <v>3.88</v>
      </c>
      <c r="K12" s="215">
        <v>3.65</v>
      </c>
      <c r="L12" s="215">
        <v>3.79</v>
      </c>
      <c r="M12" s="215">
        <v>3.99</v>
      </c>
      <c r="N12" s="215">
        <v>3.86</v>
      </c>
      <c r="O12" s="215">
        <v>3.73</v>
      </c>
      <c r="P12" s="215">
        <v>3.83</v>
      </c>
      <c r="Q12" s="215">
        <v>4.01</v>
      </c>
      <c r="R12" s="215">
        <v>4.05</v>
      </c>
      <c r="S12" s="215">
        <v>4.16</v>
      </c>
      <c r="T12" s="215">
        <v>4.33</v>
      </c>
      <c r="U12" s="215">
        <v>4.34</v>
      </c>
      <c r="V12" s="215">
        <v>4.37</v>
      </c>
      <c r="W12" s="215">
        <v>4.3899999999999997</v>
      </c>
      <c r="X12" s="215">
        <v>4.3</v>
      </c>
      <c r="Y12" s="215">
        <v>4.3600000000000003</v>
      </c>
      <c r="Z12" s="215">
        <v>4.3600000000000003</v>
      </c>
      <c r="AA12" s="215">
        <v>4.3499999999999996</v>
      </c>
      <c r="AB12" s="215">
        <v>4.58</v>
      </c>
      <c r="AC12" s="215">
        <v>4.6399999999999997</v>
      </c>
      <c r="AD12" s="215">
        <v>4.67</v>
      </c>
      <c r="AE12" s="215">
        <v>4.63</v>
      </c>
      <c r="AF12" s="215">
        <v>4.6100000000000003</v>
      </c>
      <c r="AG12" s="215">
        <v>4.55</v>
      </c>
      <c r="AH12" s="215">
        <v>4.59</v>
      </c>
      <c r="AI12" s="215">
        <v>4.6100000000000003</v>
      </c>
      <c r="AJ12" s="215">
        <v>4.54</v>
      </c>
      <c r="AK12" s="215">
        <v>4.6500000000000004</v>
      </c>
      <c r="AL12" s="215">
        <v>4.6100000000000003</v>
      </c>
      <c r="AM12" s="215">
        <v>4.3499999999999996</v>
      </c>
      <c r="AN12" s="215">
        <v>4.46</v>
      </c>
      <c r="AO12" s="215">
        <v>4.6100000000000003</v>
      </c>
      <c r="AP12" s="215">
        <v>4.5999999999999996</v>
      </c>
      <c r="AQ12" s="215">
        <v>5.36</v>
      </c>
      <c r="AR12" s="215">
        <v>5.51</v>
      </c>
      <c r="AS12" s="215">
        <v>5.56</v>
      </c>
      <c r="AT12" s="215">
        <v>5.58</v>
      </c>
      <c r="AU12" s="215">
        <v>5.62</v>
      </c>
      <c r="AV12" s="215">
        <v>5.56</v>
      </c>
      <c r="AW12" s="215">
        <v>5.48</v>
      </c>
      <c r="AX12" s="215">
        <v>5.5</v>
      </c>
      <c r="AY12" s="215">
        <v>5.46</v>
      </c>
      <c r="AZ12" s="215">
        <v>5.5</v>
      </c>
      <c r="BA12" s="215">
        <v>5.5</v>
      </c>
      <c r="BB12" s="215">
        <v>5.59</v>
      </c>
      <c r="BC12" s="215">
        <v>5.54</v>
      </c>
      <c r="BD12" s="215">
        <v>5.65</v>
      </c>
      <c r="BE12" s="215">
        <v>5.66</v>
      </c>
      <c r="BF12" s="215">
        <v>5.75</v>
      </c>
      <c r="BG12" s="215">
        <v>5.87</v>
      </c>
      <c r="BH12" s="215">
        <v>5.88</v>
      </c>
      <c r="BI12" s="215">
        <v>5.91</v>
      </c>
      <c r="BJ12" s="215">
        <v>6.01</v>
      </c>
      <c r="BK12" s="215">
        <v>6.21</v>
      </c>
      <c r="BL12" s="215">
        <v>6.65</v>
      </c>
      <c r="BM12" s="215">
        <v>6.82</v>
      </c>
      <c r="BN12" s="215">
        <v>6.36</v>
      </c>
      <c r="BO12" s="215">
        <v>6.18</v>
      </c>
      <c r="BP12" s="215">
        <v>6.38</v>
      </c>
      <c r="BQ12" s="215">
        <v>6.2</v>
      </c>
      <c r="BR12" s="215">
        <v>6.12</v>
      </c>
      <c r="BS12" s="215">
        <v>5.55</v>
      </c>
      <c r="BT12" s="215">
        <v>5.79</v>
      </c>
      <c r="BU12" s="215">
        <v>5.96</v>
      </c>
      <c r="BV12" s="215">
        <v>5.86</v>
      </c>
      <c r="BW12" s="215">
        <v>5.7</v>
      </c>
      <c r="BX12" s="215">
        <v>5.72</v>
      </c>
      <c r="BY12" s="215">
        <v>6.07</v>
      </c>
      <c r="BZ12" s="215">
        <v>6.26</v>
      </c>
      <c r="CA12" s="215">
        <v>6.21</v>
      </c>
      <c r="CB12" s="215">
        <v>6.1</v>
      </c>
      <c r="CC12" s="215">
        <v>5.86</v>
      </c>
      <c r="CD12" s="215">
        <v>5.88</v>
      </c>
      <c r="CE12" s="215">
        <v>5.95</v>
      </c>
      <c r="CF12" s="215">
        <v>5.81</v>
      </c>
      <c r="CG12" s="215">
        <v>5.74</v>
      </c>
      <c r="CH12" s="215">
        <v>5.65</v>
      </c>
      <c r="CI12" s="215">
        <v>5.81</v>
      </c>
      <c r="CJ12" s="215">
        <v>5.81</v>
      </c>
      <c r="CK12" s="215">
        <v>6.26</v>
      </c>
      <c r="CL12" s="215">
        <v>6.37</v>
      </c>
      <c r="CM12" s="215">
        <v>6.17</v>
      </c>
      <c r="CN12" s="215">
        <v>5.86</v>
      </c>
      <c r="CO12" s="215">
        <v>5.91</v>
      </c>
      <c r="CP12" s="215">
        <v>5.9</v>
      </c>
      <c r="CQ12" s="215">
        <v>5.81</v>
      </c>
      <c r="CR12" s="215">
        <v>5.42</v>
      </c>
      <c r="CS12" s="215">
        <v>5.51</v>
      </c>
      <c r="CT12" s="215">
        <v>5.53</v>
      </c>
      <c r="CU12" s="215">
        <v>5.42</v>
      </c>
      <c r="CV12" s="215">
        <v>5.52</v>
      </c>
      <c r="CW12" s="215">
        <v>5.55</v>
      </c>
      <c r="CX12" s="215">
        <v>5.7</v>
      </c>
      <c r="CY12" s="215">
        <v>5.66</v>
      </c>
      <c r="CZ12" s="215">
        <v>4.6399999999999997</v>
      </c>
      <c r="DA12" s="215">
        <v>4.6900000000000004</v>
      </c>
      <c r="DB12" s="215">
        <v>4.6900000000000004</v>
      </c>
      <c r="DC12" s="215">
        <v>4.75</v>
      </c>
      <c r="DD12" s="215">
        <v>4.6500000000000004</v>
      </c>
      <c r="DE12" s="215">
        <v>4.92</v>
      </c>
      <c r="DF12" s="215">
        <v>5.03</v>
      </c>
      <c r="DG12" s="215">
        <v>5.04</v>
      </c>
      <c r="DH12" s="215">
        <v>4.9400000000000004</v>
      </c>
      <c r="DI12" s="215">
        <v>5</v>
      </c>
      <c r="DJ12" s="215">
        <v>4.99</v>
      </c>
      <c r="DK12" s="215">
        <v>6.34</v>
      </c>
      <c r="DL12" s="215">
        <v>6.28</v>
      </c>
      <c r="DM12" s="215">
        <v>6.42</v>
      </c>
      <c r="DN12" s="215">
        <v>6.81</v>
      </c>
      <c r="DO12" s="215">
        <v>6.9</v>
      </c>
      <c r="DP12" s="215">
        <v>6.99</v>
      </c>
      <c r="DQ12" s="215">
        <v>7.84</v>
      </c>
      <c r="DR12" s="215">
        <v>7.71</v>
      </c>
      <c r="DS12" s="215">
        <v>7.49</v>
      </c>
      <c r="DT12" s="215">
        <v>7.46</v>
      </c>
      <c r="DU12" s="215">
        <v>6.83</v>
      </c>
      <c r="DV12" s="215">
        <v>7.01</v>
      </c>
      <c r="DW12" s="215">
        <v>7.14</v>
      </c>
      <c r="DX12" s="215">
        <v>7.09</v>
      </c>
      <c r="DY12" s="215">
        <v>7.27</v>
      </c>
      <c r="DZ12" s="215">
        <v>7.53</v>
      </c>
      <c r="EA12" s="215">
        <v>7.87</v>
      </c>
      <c r="EB12" s="215">
        <v>8.07</v>
      </c>
      <c r="EC12" s="215">
        <v>8</v>
      </c>
      <c r="ED12" s="215">
        <v>7.4</v>
      </c>
      <c r="EE12" s="215">
        <v>7.45</v>
      </c>
      <c r="EF12" s="215">
        <v>7.9</v>
      </c>
      <c r="EG12" s="215">
        <v>7.87</v>
      </c>
    </row>
    <row r="13" spans="1:137" x14ac:dyDescent="0.3">
      <c r="A13" s="210" t="s">
        <v>986</v>
      </c>
      <c r="B13" s="214" t="s">
        <v>987</v>
      </c>
      <c r="C13" s="215">
        <v>3.72</v>
      </c>
      <c r="D13" s="215">
        <v>3.64</v>
      </c>
      <c r="E13" s="215">
        <v>3.7</v>
      </c>
      <c r="F13" s="215">
        <v>3.7</v>
      </c>
      <c r="G13" s="215">
        <v>3.68</v>
      </c>
      <c r="H13" s="215">
        <v>3.59</v>
      </c>
      <c r="I13" s="215">
        <v>3.58</v>
      </c>
      <c r="J13" s="215">
        <v>3.61</v>
      </c>
      <c r="K13" s="215">
        <v>3.5</v>
      </c>
      <c r="L13" s="215">
        <v>3.64</v>
      </c>
      <c r="M13" s="215">
        <v>3.78</v>
      </c>
      <c r="N13" s="215">
        <v>3.65</v>
      </c>
      <c r="O13" s="215">
        <v>3.55</v>
      </c>
      <c r="P13" s="215">
        <v>3.7</v>
      </c>
      <c r="Q13" s="215">
        <v>3.81</v>
      </c>
      <c r="R13" s="215">
        <v>3.92</v>
      </c>
      <c r="S13" s="215">
        <v>4.0199999999999996</v>
      </c>
      <c r="T13" s="215">
        <v>4.1500000000000004</v>
      </c>
      <c r="U13" s="215">
        <v>4.26</v>
      </c>
      <c r="V13" s="215">
        <v>4.22</v>
      </c>
      <c r="W13" s="215">
        <v>4.18</v>
      </c>
      <c r="X13" s="215">
        <v>4.18</v>
      </c>
      <c r="Y13" s="215">
        <v>4.13</v>
      </c>
      <c r="Z13" s="215">
        <v>4.22</v>
      </c>
      <c r="AA13" s="215">
        <v>4.28</v>
      </c>
      <c r="AB13" s="215">
        <v>4.29</v>
      </c>
      <c r="AC13" s="215">
        <v>4.53</v>
      </c>
      <c r="AD13" s="215">
        <v>4.5599999999999996</v>
      </c>
      <c r="AE13" s="215">
        <v>4.4400000000000004</v>
      </c>
      <c r="AF13" s="215">
        <v>4.49</v>
      </c>
      <c r="AG13" s="215">
        <v>4.4400000000000004</v>
      </c>
      <c r="AH13" s="215">
        <v>4.5</v>
      </c>
      <c r="AI13" s="215">
        <v>4.47</v>
      </c>
      <c r="AJ13" s="215">
        <v>4.42</v>
      </c>
      <c r="AK13" s="215">
        <v>4.5199999999999996</v>
      </c>
      <c r="AL13" s="215">
        <v>4.3</v>
      </c>
      <c r="AM13" s="215">
        <v>4.2699999999999996</v>
      </c>
      <c r="AN13" s="215">
        <v>4.26</v>
      </c>
      <c r="AO13" s="215">
        <v>4.3899999999999997</v>
      </c>
      <c r="AP13" s="215">
        <v>4.5199999999999996</v>
      </c>
      <c r="AQ13" s="215">
        <v>4.57</v>
      </c>
      <c r="AR13" s="215">
        <v>5.12</v>
      </c>
      <c r="AS13" s="215">
        <v>5.47</v>
      </c>
      <c r="AT13" s="215">
        <v>5.51</v>
      </c>
      <c r="AU13" s="215">
        <v>5.43</v>
      </c>
      <c r="AV13" s="215">
        <v>5.4</v>
      </c>
      <c r="AW13" s="215">
        <v>5.32</v>
      </c>
      <c r="AX13" s="215">
        <v>5.23</v>
      </c>
      <c r="AY13" s="215">
        <v>5.22</v>
      </c>
      <c r="AZ13" s="215">
        <v>5.33</v>
      </c>
      <c r="BA13" s="215">
        <v>5.38</v>
      </c>
      <c r="BB13" s="215">
        <v>5.48</v>
      </c>
      <c r="BC13" s="215">
        <v>5.3</v>
      </c>
      <c r="BD13" s="215">
        <v>5.45</v>
      </c>
      <c r="BE13" s="215">
        <v>5.53</v>
      </c>
      <c r="BF13" s="215">
        <v>5.52</v>
      </c>
      <c r="BG13" s="215">
        <v>5.7</v>
      </c>
      <c r="BH13" s="215">
        <v>5.72</v>
      </c>
      <c r="BI13" s="215">
        <v>5.78</v>
      </c>
      <c r="BJ13" s="215">
        <v>5.86</v>
      </c>
      <c r="BK13" s="215">
        <v>5.91</v>
      </c>
      <c r="BL13" s="215">
        <v>5.89</v>
      </c>
      <c r="BM13" s="215">
        <v>5.23</v>
      </c>
      <c r="BN13" s="215">
        <v>5.63</v>
      </c>
      <c r="BO13" s="215">
        <v>5.94</v>
      </c>
      <c r="BP13" s="215">
        <v>5.79</v>
      </c>
      <c r="BQ13" s="215">
        <v>5.89</v>
      </c>
      <c r="BR13" s="215">
        <v>5.5</v>
      </c>
      <c r="BS13" s="215">
        <v>5.3</v>
      </c>
      <c r="BT13" s="215">
        <v>5.41</v>
      </c>
      <c r="BU13" s="215">
        <v>5.63</v>
      </c>
      <c r="BV13" s="215">
        <v>5.7</v>
      </c>
      <c r="BW13" s="215">
        <v>5.49</v>
      </c>
      <c r="BX13" s="215">
        <v>5.61</v>
      </c>
      <c r="BY13" s="215">
        <v>5.65</v>
      </c>
      <c r="BZ13" s="215">
        <v>6.04</v>
      </c>
      <c r="CA13" s="215">
        <v>5.87</v>
      </c>
      <c r="CB13" s="215">
        <v>5.8</v>
      </c>
      <c r="CC13" s="215">
        <v>5.71</v>
      </c>
      <c r="CD13" s="215">
        <v>5.75</v>
      </c>
      <c r="CE13" s="215">
        <v>5.6</v>
      </c>
      <c r="CF13" s="215">
        <v>5.59</v>
      </c>
      <c r="CG13" s="215">
        <v>5.33</v>
      </c>
      <c r="CH13" s="215">
        <v>5.32</v>
      </c>
      <c r="CI13" s="215">
        <v>5.64</v>
      </c>
      <c r="CJ13" s="215">
        <v>5.6</v>
      </c>
      <c r="CK13" s="215">
        <v>5.69</v>
      </c>
      <c r="CL13" s="215">
        <v>6.09</v>
      </c>
      <c r="CM13" s="215">
        <v>5.72</v>
      </c>
      <c r="CN13" s="215">
        <v>5.29</v>
      </c>
      <c r="CO13" s="215">
        <v>5.46</v>
      </c>
      <c r="CP13" s="215">
        <v>5.46</v>
      </c>
      <c r="CQ13" s="215">
        <v>5.25</v>
      </c>
      <c r="CR13" s="215">
        <v>5.0199999999999996</v>
      </c>
      <c r="CS13" s="215">
        <v>5.16</v>
      </c>
      <c r="CT13" s="215">
        <v>5.26</v>
      </c>
      <c r="CU13" s="215">
        <v>5.22</v>
      </c>
      <c r="CV13" s="215">
        <v>5.22</v>
      </c>
      <c r="CW13" s="215">
        <v>5.3</v>
      </c>
      <c r="CX13" s="215">
        <v>5.52</v>
      </c>
      <c r="CY13" s="215">
        <v>4.53</v>
      </c>
      <c r="CZ13" s="215">
        <v>4.54</v>
      </c>
      <c r="DA13" s="215">
        <v>4.55</v>
      </c>
      <c r="DB13" s="215">
        <v>4.5999999999999996</v>
      </c>
      <c r="DC13" s="215">
        <v>4.53</v>
      </c>
      <c r="DD13" s="215">
        <v>4.4400000000000004</v>
      </c>
      <c r="DE13" s="215">
        <v>4.6399999999999997</v>
      </c>
      <c r="DF13" s="215">
        <v>4.82</v>
      </c>
      <c r="DG13" s="215">
        <v>4.78</v>
      </c>
      <c r="DH13" s="215">
        <v>4.76</v>
      </c>
      <c r="DI13" s="215">
        <v>4.87</v>
      </c>
      <c r="DJ13" s="215">
        <v>4.7699999999999996</v>
      </c>
      <c r="DK13" s="215">
        <v>4.9800000000000004</v>
      </c>
      <c r="DL13" s="215">
        <v>6.18</v>
      </c>
      <c r="DM13" s="215">
        <v>6.18</v>
      </c>
      <c r="DN13" s="215">
        <v>6.35</v>
      </c>
      <c r="DO13" s="215">
        <v>6.77</v>
      </c>
      <c r="DP13" s="215">
        <v>6.77</v>
      </c>
      <c r="DQ13" s="215">
        <v>6.75</v>
      </c>
      <c r="DR13" s="215">
        <v>7.36</v>
      </c>
      <c r="DS13" s="215">
        <v>6.96</v>
      </c>
      <c r="DT13" s="215">
        <v>6.77</v>
      </c>
      <c r="DU13" s="215">
        <v>6.63</v>
      </c>
      <c r="DV13" s="215">
        <v>6.43</v>
      </c>
      <c r="DW13" s="215">
        <v>6.94</v>
      </c>
      <c r="DX13" s="215">
        <v>6.89</v>
      </c>
      <c r="DY13" s="215">
        <v>6.9</v>
      </c>
      <c r="DZ13" s="215">
        <v>7.24</v>
      </c>
      <c r="EA13" s="215">
        <v>7.35</v>
      </c>
      <c r="EB13" s="215">
        <v>7.84</v>
      </c>
      <c r="EC13" s="215">
        <v>7.36</v>
      </c>
      <c r="ED13" s="215">
        <v>7.18</v>
      </c>
      <c r="EE13" s="215">
        <v>7.13</v>
      </c>
      <c r="EF13" s="215">
        <v>7.15</v>
      </c>
      <c r="EG13" s="215">
        <v>7.86</v>
      </c>
    </row>
    <row r="14" spans="1:137" x14ac:dyDescent="0.3">
      <c r="A14" s="210" t="s">
        <v>988</v>
      </c>
      <c r="B14" s="214" t="s">
        <v>989</v>
      </c>
      <c r="C14" s="215">
        <v>3.79</v>
      </c>
      <c r="D14" s="215">
        <v>3.74</v>
      </c>
      <c r="E14" s="215">
        <v>3.76</v>
      </c>
      <c r="F14" s="215">
        <v>3.7</v>
      </c>
      <c r="G14" s="215">
        <v>3.78</v>
      </c>
      <c r="H14" s="215">
        <v>3.59</v>
      </c>
      <c r="I14" s="215">
        <v>3.65</v>
      </c>
      <c r="J14" s="215">
        <v>3.61</v>
      </c>
      <c r="K14" s="215">
        <v>3.65</v>
      </c>
      <c r="L14" s="215">
        <v>3.79</v>
      </c>
      <c r="M14" s="215">
        <v>3.84</v>
      </c>
      <c r="N14" s="215">
        <v>3.72</v>
      </c>
      <c r="O14" s="215">
        <v>3.73</v>
      </c>
      <c r="P14" s="215">
        <v>3.81</v>
      </c>
      <c r="Q14" s="215">
        <v>4</v>
      </c>
      <c r="R14" s="215">
        <v>3.99</v>
      </c>
      <c r="S14" s="215">
        <v>4.16</v>
      </c>
      <c r="T14" s="215">
        <v>4.33</v>
      </c>
      <c r="U14" s="215">
        <v>4.28</v>
      </c>
      <c r="V14" s="215">
        <v>4.2300000000000004</v>
      </c>
      <c r="W14" s="215">
        <v>4.3</v>
      </c>
      <c r="X14" s="215">
        <v>4.3</v>
      </c>
      <c r="Y14" s="215">
        <v>4.25</v>
      </c>
      <c r="Z14" s="215">
        <v>4.2699999999999996</v>
      </c>
      <c r="AA14" s="215">
        <v>4.32</v>
      </c>
      <c r="AB14" s="215">
        <v>4.58</v>
      </c>
      <c r="AC14" s="215">
        <v>4.59</v>
      </c>
      <c r="AD14" s="215">
        <v>4.6500000000000004</v>
      </c>
      <c r="AE14" s="215">
        <v>4.58</v>
      </c>
      <c r="AF14" s="215">
        <v>4.49</v>
      </c>
      <c r="AG14" s="215">
        <v>4.5</v>
      </c>
      <c r="AH14" s="215">
        <v>4.5599999999999996</v>
      </c>
      <c r="AI14" s="215">
        <v>4.47</v>
      </c>
      <c r="AJ14" s="215">
        <v>4.54</v>
      </c>
      <c r="AK14" s="215">
        <v>4.62</v>
      </c>
      <c r="AL14" s="215">
        <v>4.3</v>
      </c>
      <c r="AM14" s="215">
        <v>4.34</v>
      </c>
      <c r="AN14" s="215">
        <v>4.43</v>
      </c>
      <c r="AO14" s="215">
        <v>4.57</v>
      </c>
      <c r="AP14" s="215">
        <v>4.58</v>
      </c>
      <c r="AQ14" s="215">
        <v>5.26</v>
      </c>
      <c r="AR14" s="215">
        <v>5.49</v>
      </c>
      <c r="AS14" s="215">
        <v>5.55</v>
      </c>
      <c r="AT14" s="215">
        <v>5.55</v>
      </c>
      <c r="AU14" s="215">
        <v>5.49</v>
      </c>
      <c r="AV14" s="215">
        <v>5.4</v>
      </c>
      <c r="AW14" s="215">
        <v>5.42</v>
      </c>
      <c r="AX14" s="215">
        <v>5.25</v>
      </c>
      <c r="AY14" s="215">
        <v>5.46</v>
      </c>
      <c r="AZ14" s="215">
        <v>5.37</v>
      </c>
      <c r="BA14" s="215">
        <v>5.5</v>
      </c>
      <c r="BB14" s="215">
        <v>5.55</v>
      </c>
      <c r="BC14" s="215">
        <v>5.43</v>
      </c>
      <c r="BD14" s="215">
        <v>5.57</v>
      </c>
      <c r="BE14" s="215">
        <v>5.53</v>
      </c>
      <c r="BF14" s="215">
        <v>5.74</v>
      </c>
      <c r="BG14" s="215">
        <v>5.87</v>
      </c>
      <c r="BH14" s="215">
        <v>5.8</v>
      </c>
      <c r="BI14" s="215">
        <v>5.9</v>
      </c>
      <c r="BJ14" s="215">
        <v>5.99</v>
      </c>
      <c r="BK14" s="215">
        <v>6.2</v>
      </c>
      <c r="BL14" s="215">
        <v>6.61</v>
      </c>
      <c r="BM14" s="215">
        <v>5.88</v>
      </c>
      <c r="BN14" s="215">
        <v>6.18</v>
      </c>
      <c r="BO14" s="215">
        <v>6.16</v>
      </c>
      <c r="BP14" s="215">
        <v>5.91</v>
      </c>
      <c r="BQ14" s="215">
        <v>6.11</v>
      </c>
      <c r="BR14" s="215">
        <v>5.53</v>
      </c>
      <c r="BS14" s="215">
        <v>5.39</v>
      </c>
      <c r="BT14" s="215">
        <v>5.57</v>
      </c>
      <c r="BU14" s="215">
        <v>5.74</v>
      </c>
      <c r="BV14" s="215">
        <v>5.74</v>
      </c>
      <c r="BW14" s="215">
        <v>5.64</v>
      </c>
      <c r="BX14" s="215">
        <v>5.62</v>
      </c>
      <c r="BY14" s="215">
        <v>6.07</v>
      </c>
      <c r="BZ14" s="215">
        <v>6.2</v>
      </c>
      <c r="CA14" s="215">
        <v>5.87</v>
      </c>
      <c r="CB14" s="215">
        <v>5.8</v>
      </c>
      <c r="CC14" s="215">
        <v>5.75</v>
      </c>
      <c r="CD14" s="215">
        <v>5.83</v>
      </c>
      <c r="CE14" s="215">
        <v>5.68</v>
      </c>
      <c r="CF14" s="215">
        <v>5.71</v>
      </c>
      <c r="CG14" s="215">
        <v>5.33</v>
      </c>
      <c r="CH14" s="215">
        <v>5.65</v>
      </c>
      <c r="CI14" s="215">
        <v>5.81</v>
      </c>
      <c r="CJ14" s="215">
        <v>5.67</v>
      </c>
      <c r="CK14" s="215">
        <v>6.26</v>
      </c>
      <c r="CL14" s="215">
        <v>6.09</v>
      </c>
      <c r="CM14" s="215">
        <v>5.86</v>
      </c>
      <c r="CN14" s="215">
        <v>5.54</v>
      </c>
      <c r="CO14" s="215">
        <v>5.91</v>
      </c>
      <c r="CP14" s="215">
        <v>5.58</v>
      </c>
      <c r="CQ14" s="215">
        <v>5.25</v>
      </c>
      <c r="CR14" s="215">
        <v>5.27</v>
      </c>
      <c r="CS14" s="215">
        <v>5.51</v>
      </c>
      <c r="CT14" s="215">
        <v>5.26</v>
      </c>
      <c r="CU14" s="215">
        <v>5.39</v>
      </c>
      <c r="CV14" s="215">
        <v>5.52</v>
      </c>
      <c r="CW14" s="215">
        <v>5.55</v>
      </c>
      <c r="CX14" s="215">
        <v>5.64</v>
      </c>
      <c r="CY14" s="215">
        <v>4.53</v>
      </c>
      <c r="CZ14" s="215">
        <v>4.57</v>
      </c>
      <c r="DA14" s="215">
        <v>4.6399999999999997</v>
      </c>
      <c r="DB14" s="215">
        <v>4.62</v>
      </c>
      <c r="DC14" s="215">
        <v>4.54</v>
      </c>
      <c r="DD14" s="215">
        <v>4.62</v>
      </c>
      <c r="DE14" s="215">
        <v>4.8899999999999997</v>
      </c>
      <c r="DF14" s="215">
        <v>4.96</v>
      </c>
      <c r="DG14" s="215">
        <v>4.84</v>
      </c>
      <c r="DH14" s="215">
        <v>4.92</v>
      </c>
      <c r="DI14" s="215">
        <v>4.97</v>
      </c>
      <c r="DJ14" s="215">
        <v>4.96</v>
      </c>
      <c r="DK14" s="215">
        <v>6.28</v>
      </c>
      <c r="DL14" s="215">
        <v>6.23</v>
      </c>
      <c r="DM14" s="215">
        <v>6.41</v>
      </c>
      <c r="DN14" s="215">
        <v>6.81</v>
      </c>
      <c r="DO14" s="215">
        <v>6.88</v>
      </c>
      <c r="DP14" s="215">
        <v>6.87</v>
      </c>
      <c r="DQ14" s="215">
        <v>7.78</v>
      </c>
      <c r="DR14" s="215">
        <v>7.49</v>
      </c>
      <c r="DS14" s="215">
        <v>7.26</v>
      </c>
      <c r="DT14" s="215">
        <v>6.81</v>
      </c>
      <c r="DU14" s="215">
        <v>6.8</v>
      </c>
      <c r="DV14" s="215">
        <v>6.95</v>
      </c>
      <c r="DW14" s="215">
        <v>7.12</v>
      </c>
      <c r="DX14" s="215">
        <v>6.98</v>
      </c>
      <c r="DY14" s="215">
        <v>7.27</v>
      </c>
      <c r="DZ14" s="215">
        <v>7.51</v>
      </c>
      <c r="EA14" s="215">
        <v>7.87</v>
      </c>
      <c r="EB14" s="215">
        <v>7.97</v>
      </c>
      <c r="EC14" s="215">
        <v>7.55</v>
      </c>
      <c r="ED14" s="215">
        <v>7.25</v>
      </c>
      <c r="EE14" s="215">
        <v>7.19</v>
      </c>
      <c r="EF14" s="215">
        <v>7.9</v>
      </c>
      <c r="EG14" s="215">
        <v>7.86</v>
      </c>
    </row>
    <row r="15" spans="1:137" x14ac:dyDescent="0.3">
      <c r="A15" s="210" t="s">
        <v>990</v>
      </c>
      <c r="B15" s="214" t="s">
        <v>205</v>
      </c>
      <c r="C15" s="215">
        <v>3.69</v>
      </c>
      <c r="D15" s="215">
        <v>3.59</v>
      </c>
      <c r="E15" s="215">
        <v>3.61</v>
      </c>
      <c r="F15" s="215">
        <v>3.58</v>
      </c>
      <c r="G15" s="215">
        <v>3.56</v>
      </c>
      <c r="H15" s="215">
        <v>3.5</v>
      </c>
      <c r="I15" s="215">
        <v>3.44</v>
      </c>
      <c r="J15" s="215">
        <v>3.46</v>
      </c>
      <c r="K15" s="215">
        <v>3.27</v>
      </c>
      <c r="L15" s="215">
        <v>3.43</v>
      </c>
      <c r="M15" s="215">
        <v>3.42</v>
      </c>
      <c r="N15" s="215">
        <v>3.29</v>
      </c>
      <c r="O15" s="215">
        <v>3.2</v>
      </c>
      <c r="P15" s="215">
        <v>3.21</v>
      </c>
      <c r="Q15" s="215">
        <v>3.48</v>
      </c>
      <c r="R15" s="215">
        <v>3.57</v>
      </c>
      <c r="S15" s="215">
        <v>3.74</v>
      </c>
      <c r="T15" s="215">
        <v>3.75</v>
      </c>
      <c r="U15" s="215">
        <v>3.93</v>
      </c>
      <c r="V15" s="215">
        <v>3.97</v>
      </c>
      <c r="W15" s="215">
        <v>4.01</v>
      </c>
      <c r="X15" s="215">
        <v>3.84</v>
      </c>
      <c r="Y15" s="215">
        <v>3.95</v>
      </c>
      <c r="Z15" s="215">
        <v>4.05</v>
      </c>
      <c r="AA15" s="215">
        <v>4.0199999999999996</v>
      </c>
      <c r="AB15" s="215">
        <v>4.05</v>
      </c>
      <c r="AC15" s="215">
        <v>4.2</v>
      </c>
      <c r="AD15" s="215">
        <v>4.28</v>
      </c>
      <c r="AE15" s="215">
        <v>4.1900000000000004</v>
      </c>
      <c r="AF15" s="215">
        <v>4.29</v>
      </c>
      <c r="AG15" s="215">
        <v>4.24</v>
      </c>
      <c r="AH15" s="215">
        <v>4.3099999999999996</v>
      </c>
      <c r="AI15" s="215">
        <v>4.25</v>
      </c>
      <c r="AJ15" s="215">
        <v>4.18</v>
      </c>
      <c r="AK15" s="215">
        <v>4.29</v>
      </c>
      <c r="AL15" s="215">
        <v>4.1500000000000004</v>
      </c>
      <c r="AM15" s="215">
        <v>4.01</v>
      </c>
      <c r="AN15" s="215">
        <v>4.2</v>
      </c>
      <c r="AO15" s="215">
        <v>4.43</v>
      </c>
      <c r="AP15" s="215">
        <v>4.5</v>
      </c>
      <c r="AQ15" s="215">
        <v>4.88</v>
      </c>
      <c r="AR15" s="215">
        <v>5.09</v>
      </c>
      <c r="AS15" s="215">
        <v>5.25</v>
      </c>
      <c r="AT15" s="215">
        <v>5.25</v>
      </c>
      <c r="AU15" s="215">
        <v>5.25</v>
      </c>
      <c r="AV15" s="215">
        <v>5.23</v>
      </c>
      <c r="AW15" s="215">
        <v>5.17</v>
      </c>
      <c r="AX15" s="215">
        <v>5.17</v>
      </c>
      <c r="AY15" s="215">
        <v>5.09</v>
      </c>
      <c r="AZ15" s="215">
        <v>5.18</v>
      </c>
      <c r="BA15" s="215">
        <v>5.27</v>
      </c>
      <c r="BB15" s="215">
        <v>5.34</v>
      </c>
      <c r="BC15" s="215">
        <v>5.28</v>
      </c>
      <c r="BD15" s="215">
        <v>5.42</v>
      </c>
      <c r="BE15" s="215">
        <v>5.45</v>
      </c>
      <c r="BF15" s="215">
        <v>5.34</v>
      </c>
      <c r="BG15" s="215">
        <v>5.4</v>
      </c>
      <c r="BH15" s="215">
        <v>5.57</v>
      </c>
      <c r="BI15" s="215">
        <v>5.64</v>
      </c>
      <c r="BJ15" s="215">
        <v>5.61</v>
      </c>
      <c r="BK15" s="215">
        <v>5.83</v>
      </c>
      <c r="BL15" s="215">
        <v>6.04</v>
      </c>
      <c r="BM15" s="215">
        <v>5.51</v>
      </c>
      <c r="BN15" s="215">
        <v>5.81</v>
      </c>
      <c r="BO15" s="215">
        <v>5.76</v>
      </c>
      <c r="BP15" s="215">
        <v>5.78</v>
      </c>
      <c r="BQ15" s="215">
        <v>5.69</v>
      </c>
      <c r="BR15" s="215">
        <v>5.17</v>
      </c>
      <c r="BS15" s="215">
        <v>4.87</v>
      </c>
      <c r="BT15" s="215">
        <v>5.19</v>
      </c>
      <c r="BU15" s="215">
        <v>5.42</v>
      </c>
      <c r="BV15" s="215">
        <v>5.14</v>
      </c>
      <c r="BW15" s="215">
        <v>5.08</v>
      </c>
      <c r="BX15" s="215">
        <v>5.25</v>
      </c>
      <c r="BY15" s="215">
        <v>5.58</v>
      </c>
      <c r="BZ15" s="215">
        <v>5.83</v>
      </c>
      <c r="CA15" s="215">
        <v>5.31</v>
      </c>
      <c r="CB15" s="215">
        <v>5.34</v>
      </c>
      <c r="CC15" s="215">
        <v>5.44</v>
      </c>
      <c r="CD15" s="215">
        <v>5.6</v>
      </c>
      <c r="CE15" s="215">
        <v>5.43</v>
      </c>
      <c r="CF15" s="215">
        <v>5.29</v>
      </c>
      <c r="CG15" s="215">
        <v>5.18</v>
      </c>
      <c r="CH15" s="215">
        <v>5.04</v>
      </c>
      <c r="CI15" s="215">
        <v>5.32</v>
      </c>
      <c r="CJ15" s="215">
        <v>5.48</v>
      </c>
      <c r="CK15" s="215">
        <v>5.94</v>
      </c>
      <c r="CL15" s="215">
        <v>6.12</v>
      </c>
      <c r="CM15" s="215">
        <v>5.94</v>
      </c>
      <c r="CN15" s="215">
        <v>5.55</v>
      </c>
      <c r="CO15" s="215">
        <v>5.41</v>
      </c>
      <c r="CP15" s="215">
        <v>5.59</v>
      </c>
      <c r="CQ15" s="215">
        <v>5.51</v>
      </c>
      <c r="CR15" s="215">
        <v>5.0199999999999996</v>
      </c>
      <c r="CS15" s="215">
        <v>5.2</v>
      </c>
      <c r="CT15" s="215">
        <v>5.35</v>
      </c>
      <c r="CU15" s="215">
        <v>5.37</v>
      </c>
      <c r="CV15" s="215">
        <v>5.49</v>
      </c>
      <c r="CW15" s="215">
        <v>5.5</v>
      </c>
      <c r="CX15" s="215">
        <v>5.52</v>
      </c>
      <c r="CY15" s="215">
        <v>4.8</v>
      </c>
      <c r="CZ15" s="215">
        <v>4.51</v>
      </c>
      <c r="DA15" s="215">
        <v>4.51</v>
      </c>
      <c r="DB15" s="215">
        <v>4.6399999999999997</v>
      </c>
      <c r="DC15" s="215">
        <v>4.71</v>
      </c>
      <c r="DD15" s="215">
        <v>4.5</v>
      </c>
      <c r="DE15" s="215">
        <v>4.5999999999999996</v>
      </c>
      <c r="DF15" s="215">
        <v>4.87</v>
      </c>
      <c r="DG15" s="215">
        <v>5.01</v>
      </c>
      <c r="DH15" s="215">
        <v>5.05</v>
      </c>
      <c r="DI15" s="215">
        <v>5.04</v>
      </c>
      <c r="DJ15" s="215">
        <v>5.1100000000000003</v>
      </c>
      <c r="DK15" s="215">
        <v>5.49</v>
      </c>
      <c r="DL15" s="215">
        <v>5.52</v>
      </c>
      <c r="DM15" s="215">
        <v>5.63</v>
      </c>
      <c r="DN15" s="215">
        <v>6</v>
      </c>
      <c r="DO15" s="215">
        <v>6</v>
      </c>
      <c r="DP15" s="215">
        <v>5.95</v>
      </c>
      <c r="DQ15" s="215">
        <v>6.7</v>
      </c>
      <c r="DR15" s="215">
        <v>6.48</v>
      </c>
      <c r="DS15" s="215">
        <v>6.23</v>
      </c>
      <c r="DT15" s="215">
        <v>5.94</v>
      </c>
      <c r="DU15" s="215">
        <v>5.28</v>
      </c>
      <c r="DV15" s="215">
        <v>5.58</v>
      </c>
      <c r="DW15" s="215">
        <v>6.38</v>
      </c>
      <c r="DX15" s="215">
        <v>6.43</v>
      </c>
      <c r="DY15" s="215">
        <v>6.33</v>
      </c>
      <c r="DZ15" s="215">
        <v>6.96</v>
      </c>
      <c r="EA15" s="215">
        <v>7.12</v>
      </c>
      <c r="EB15" s="215">
        <v>7.31</v>
      </c>
      <c r="EC15" s="215">
        <v>7.1</v>
      </c>
      <c r="ED15" s="215">
        <v>6.9</v>
      </c>
      <c r="EE15" s="215">
        <v>6.89</v>
      </c>
      <c r="EF15" s="215">
        <v>7.18</v>
      </c>
      <c r="EG15" s="215">
        <v>7.48</v>
      </c>
    </row>
    <row r="16" spans="1:137" x14ac:dyDescent="0.3">
      <c r="A16" s="210" t="s">
        <v>190</v>
      </c>
      <c r="B16" s="214" t="s">
        <v>985</v>
      </c>
      <c r="C16" s="215">
        <v>3.74</v>
      </c>
      <c r="D16" s="215">
        <v>3.68</v>
      </c>
      <c r="E16" s="215">
        <v>3.69</v>
      </c>
      <c r="F16" s="215">
        <v>3.64</v>
      </c>
      <c r="G16" s="215">
        <v>3.6</v>
      </c>
      <c r="H16" s="215">
        <v>3.59</v>
      </c>
      <c r="I16" s="215">
        <v>3.53</v>
      </c>
      <c r="J16" s="215">
        <v>3.57</v>
      </c>
      <c r="K16" s="215">
        <v>3.36</v>
      </c>
      <c r="L16" s="215">
        <v>3.48</v>
      </c>
      <c r="M16" s="215">
        <v>3.53</v>
      </c>
      <c r="N16" s="215">
        <v>3.4</v>
      </c>
      <c r="O16" s="215">
        <v>3.28</v>
      </c>
      <c r="P16" s="215">
        <v>3.27</v>
      </c>
      <c r="Q16" s="215">
        <v>3.56</v>
      </c>
      <c r="R16" s="215">
        <v>3.62</v>
      </c>
      <c r="S16" s="215">
        <v>3.82</v>
      </c>
      <c r="T16" s="215">
        <v>3.93</v>
      </c>
      <c r="U16" s="215">
        <v>3.99</v>
      </c>
      <c r="V16" s="215">
        <v>4.05</v>
      </c>
      <c r="W16" s="215">
        <v>4.0999999999999996</v>
      </c>
      <c r="X16" s="215">
        <v>3.97</v>
      </c>
      <c r="Y16" s="215">
        <v>4.05</v>
      </c>
      <c r="Z16" s="215">
        <v>4.1100000000000003</v>
      </c>
      <c r="AA16" s="215">
        <v>4.1100000000000003</v>
      </c>
      <c r="AB16" s="215">
        <v>4.33</v>
      </c>
      <c r="AC16" s="215">
        <v>4.28</v>
      </c>
      <c r="AD16" s="215">
        <v>4.33</v>
      </c>
      <c r="AE16" s="215">
        <v>4.3</v>
      </c>
      <c r="AF16" s="215">
        <v>4.3600000000000003</v>
      </c>
      <c r="AG16" s="215">
        <v>4.3</v>
      </c>
      <c r="AH16" s="215">
        <v>4.4400000000000004</v>
      </c>
      <c r="AI16" s="215">
        <v>4.32</v>
      </c>
      <c r="AJ16" s="215">
        <v>4.42</v>
      </c>
      <c r="AK16" s="215">
        <v>4.34</v>
      </c>
      <c r="AL16" s="215">
        <v>4.3</v>
      </c>
      <c r="AM16" s="215">
        <v>4.05</v>
      </c>
      <c r="AN16" s="215">
        <v>4.3600000000000003</v>
      </c>
      <c r="AO16" s="215">
        <v>4.5199999999999996</v>
      </c>
      <c r="AP16" s="215">
        <v>4.54</v>
      </c>
      <c r="AQ16" s="215">
        <v>5.19</v>
      </c>
      <c r="AR16" s="215">
        <v>5.22</v>
      </c>
      <c r="AS16" s="215">
        <v>5.29</v>
      </c>
      <c r="AT16" s="215">
        <v>5.32</v>
      </c>
      <c r="AU16" s="215">
        <v>5.32</v>
      </c>
      <c r="AV16" s="215">
        <v>5.28</v>
      </c>
      <c r="AW16" s="215">
        <v>5.26</v>
      </c>
      <c r="AX16" s="215">
        <v>5.3</v>
      </c>
      <c r="AY16" s="215">
        <v>5.19</v>
      </c>
      <c r="AZ16" s="215">
        <v>5.24</v>
      </c>
      <c r="BA16" s="215">
        <v>5.34</v>
      </c>
      <c r="BB16" s="215">
        <v>5.4</v>
      </c>
      <c r="BC16" s="215">
        <v>5.41</v>
      </c>
      <c r="BD16" s="215">
        <v>5.52</v>
      </c>
      <c r="BE16" s="215">
        <v>5.5</v>
      </c>
      <c r="BF16" s="215">
        <v>5.42</v>
      </c>
      <c r="BG16" s="215">
        <v>5.64</v>
      </c>
      <c r="BH16" s="215">
        <v>5.66</v>
      </c>
      <c r="BI16" s="215">
        <v>5.78</v>
      </c>
      <c r="BJ16" s="215">
        <v>5.67</v>
      </c>
      <c r="BK16" s="215">
        <v>5.99</v>
      </c>
      <c r="BL16" s="215">
        <v>6.14</v>
      </c>
      <c r="BM16" s="215">
        <v>6.07</v>
      </c>
      <c r="BN16" s="215">
        <v>6.04</v>
      </c>
      <c r="BO16" s="215">
        <v>5.9</v>
      </c>
      <c r="BP16" s="215">
        <v>6.09</v>
      </c>
      <c r="BQ16" s="215">
        <v>5.88</v>
      </c>
      <c r="BR16" s="215">
        <v>5.79</v>
      </c>
      <c r="BS16" s="215">
        <v>4.99</v>
      </c>
      <c r="BT16" s="215">
        <v>5.34</v>
      </c>
      <c r="BU16" s="215">
        <v>5.56</v>
      </c>
      <c r="BV16" s="215">
        <v>5.56</v>
      </c>
      <c r="BW16" s="215">
        <v>5.26</v>
      </c>
      <c r="BX16" s="215">
        <v>5.62</v>
      </c>
      <c r="BY16" s="215">
        <v>5.75</v>
      </c>
      <c r="BZ16" s="215">
        <v>5.94</v>
      </c>
      <c r="CA16" s="215">
        <v>5.89</v>
      </c>
      <c r="CB16" s="215">
        <v>5.47</v>
      </c>
      <c r="CC16" s="215">
        <v>5.53</v>
      </c>
      <c r="CD16" s="215">
        <v>5.68</v>
      </c>
      <c r="CE16" s="215">
        <v>5.68</v>
      </c>
      <c r="CF16" s="215">
        <v>5.37</v>
      </c>
      <c r="CG16" s="215">
        <v>5.42</v>
      </c>
      <c r="CH16" s="215">
        <v>5.15</v>
      </c>
      <c r="CI16" s="215">
        <v>5.52</v>
      </c>
      <c r="CJ16" s="215">
        <v>5.67</v>
      </c>
      <c r="CK16" s="215">
        <v>6.15</v>
      </c>
      <c r="CL16" s="215">
        <v>6.22</v>
      </c>
      <c r="CM16" s="215">
        <v>6.07</v>
      </c>
      <c r="CN16" s="215">
        <v>5.83</v>
      </c>
      <c r="CO16" s="215">
        <v>5.64</v>
      </c>
      <c r="CP16" s="215">
        <v>5.7</v>
      </c>
      <c r="CQ16" s="215">
        <v>5.72</v>
      </c>
      <c r="CR16" s="215">
        <v>5.32</v>
      </c>
      <c r="CS16" s="215">
        <v>5.39</v>
      </c>
      <c r="CT16" s="215">
        <v>5.48</v>
      </c>
      <c r="CU16" s="215">
        <v>5.58</v>
      </c>
      <c r="CV16" s="215">
        <v>5.7</v>
      </c>
      <c r="CW16" s="215">
        <v>5.72</v>
      </c>
      <c r="CX16" s="215">
        <v>5.6</v>
      </c>
      <c r="CY16" s="215">
        <v>5.46</v>
      </c>
      <c r="CZ16" s="215">
        <v>4.59</v>
      </c>
      <c r="DA16" s="215">
        <v>4.59</v>
      </c>
      <c r="DB16" s="215">
        <v>4.72</v>
      </c>
      <c r="DC16" s="215">
        <v>4.8099999999999996</v>
      </c>
      <c r="DD16" s="215">
        <v>4.6500000000000004</v>
      </c>
      <c r="DE16" s="215">
        <v>4.9400000000000004</v>
      </c>
      <c r="DF16" s="215">
        <v>5.0199999999999996</v>
      </c>
      <c r="DG16" s="215">
        <v>5.1100000000000003</v>
      </c>
      <c r="DH16" s="215">
        <v>5.2</v>
      </c>
      <c r="DI16" s="215">
        <v>5.1100000000000003</v>
      </c>
      <c r="DJ16" s="215">
        <v>5.18</v>
      </c>
      <c r="DK16" s="215">
        <v>5.72</v>
      </c>
      <c r="DL16" s="215">
        <v>5.57</v>
      </c>
      <c r="DM16" s="215">
        <v>5.77</v>
      </c>
      <c r="DN16" s="215">
        <v>6.13</v>
      </c>
      <c r="DO16" s="215">
        <v>6.19</v>
      </c>
      <c r="DP16" s="215">
        <v>6.04</v>
      </c>
      <c r="DQ16" s="215">
        <v>6.96</v>
      </c>
      <c r="DR16" s="215">
        <v>6.85</v>
      </c>
      <c r="DS16" s="215">
        <v>6.43</v>
      </c>
      <c r="DT16" s="215">
        <v>6.34</v>
      </c>
      <c r="DU16" s="215">
        <v>5.52</v>
      </c>
      <c r="DV16" s="215">
        <v>5.98</v>
      </c>
      <c r="DW16" s="215">
        <v>6.65</v>
      </c>
      <c r="DX16" s="215">
        <v>6.61</v>
      </c>
      <c r="DY16" s="215">
        <v>6.57</v>
      </c>
      <c r="DZ16" s="215">
        <v>7.16</v>
      </c>
      <c r="EA16" s="215">
        <v>7.35</v>
      </c>
      <c r="EB16" s="215">
        <v>7.41</v>
      </c>
      <c r="EC16" s="215">
        <v>7.36</v>
      </c>
      <c r="ED16" s="215">
        <v>7.02</v>
      </c>
      <c r="EE16" s="215">
        <v>7.07</v>
      </c>
      <c r="EF16" s="215">
        <v>7.64</v>
      </c>
      <c r="EG16" s="215">
        <v>7.49</v>
      </c>
    </row>
    <row r="17" spans="1:137" x14ac:dyDescent="0.3">
      <c r="A17" s="210" t="s">
        <v>986</v>
      </c>
      <c r="B17" s="214" t="s">
        <v>987</v>
      </c>
      <c r="C17" s="215">
        <v>3.64</v>
      </c>
      <c r="D17" s="215">
        <v>3.5</v>
      </c>
      <c r="E17" s="215">
        <v>3.55</v>
      </c>
      <c r="F17" s="215">
        <v>3.52</v>
      </c>
      <c r="G17" s="215">
        <v>3.49</v>
      </c>
      <c r="H17" s="215">
        <v>3.42</v>
      </c>
      <c r="I17" s="215">
        <v>3.32</v>
      </c>
      <c r="J17" s="215">
        <v>3.32</v>
      </c>
      <c r="K17" s="215">
        <v>3.22</v>
      </c>
      <c r="L17" s="215">
        <v>3.36</v>
      </c>
      <c r="M17" s="215">
        <v>3.37</v>
      </c>
      <c r="N17" s="215">
        <v>3.21</v>
      </c>
      <c r="O17" s="215">
        <v>3.11</v>
      </c>
      <c r="P17" s="215">
        <v>3.15</v>
      </c>
      <c r="Q17" s="215">
        <v>3.34</v>
      </c>
      <c r="R17" s="215">
        <v>3.51</v>
      </c>
      <c r="S17" s="215">
        <v>3.66</v>
      </c>
      <c r="T17" s="215">
        <v>3.66</v>
      </c>
      <c r="U17" s="215">
        <v>3.89</v>
      </c>
      <c r="V17" s="215">
        <v>3.87</v>
      </c>
      <c r="W17" s="215">
        <v>3.91</v>
      </c>
      <c r="X17" s="215">
        <v>3.77</v>
      </c>
      <c r="Y17" s="215">
        <v>3.8</v>
      </c>
      <c r="Z17" s="215">
        <v>3.99</v>
      </c>
      <c r="AA17" s="215">
        <v>3.94</v>
      </c>
      <c r="AB17" s="215">
        <v>3.96</v>
      </c>
      <c r="AC17" s="215">
        <v>4.1399999999999997</v>
      </c>
      <c r="AD17" s="215">
        <v>4.1900000000000004</v>
      </c>
      <c r="AE17" s="215">
        <v>4.0999999999999996</v>
      </c>
      <c r="AF17" s="215">
        <v>4.24</v>
      </c>
      <c r="AG17" s="215">
        <v>4.21</v>
      </c>
      <c r="AH17" s="215">
        <v>4.26</v>
      </c>
      <c r="AI17" s="215">
        <v>4.13</v>
      </c>
      <c r="AJ17" s="215">
        <v>4.09</v>
      </c>
      <c r="AK17" s="215">
        <v>4.22</v>
      </c>
      <c r="AL17" s="215">
        <v>3.97</v>
      </c>
      <c r="AM17" s="215">
        <v>3.94</v>
      </c>
      <c r="AN17" s="215">
        <v>4.04</v>
      </c>
      <c r="AO17" s="215">
        <v>4.28</v>
      </c>
      <c r="AP17" s="215">
        <v>4.45</v>
      </c>
      <c r="AQ17" s="215">
        <v>4.5</v>
      </c>
      <c r="AR17" s="215">
        <v>4.83</v>
      </c>
      <c r="AS17" s="215">
        <v>5.19</v>
      </c>
      <c r="AT17" s="215">
        <v>5.21</v>
      </c>
      <c r="AU17" s="215">
        <v>5.14</v>
      </c>
      <c r="AV17" s="215">
        <v>5.12</v>
      </c>
      <c r="AW17" s="215">
        <v>5.0999999999999996</v>
      </c>
      <c r="AX17" s="215">
        <v>4.97</v>
      </c>
      <c r="AY17" s="215">
        <v>4.96</v>
      </c>
      <c r="AZ17" s="215">
        <v>5.12</v>
      </c>
      <c r="BA17" s="215">
        <v>5.19</v>
      </c>
      <c r="BB17" s="215">
        <v>5.28</v>
      </c>
      <c r="BC17" s="215">
        <v>4.9800000000000004</v>
      </c>
      <c r="BD17" s="215">
        <v>5.32</v>
      </c>
      <c r="BE17" s="215">
        <v>5.37</v>
      </c>
      <c r="BF17" s="215">
        <v>5.2</v>
      </c>
      <c r="BG17" s="215">
        <v>5.32</v>
      </c>
      <c r="BH17" s="215">
        <v>5.5</v>
      </c>
      <c r="BI17" s="215">
        <v>5.55</v>
      </c>
      <c r="BJ17" s="215">
        <v>5.54</v>
      </c>
      <c r="BK17" s="215">
        <v>5.54</v>
      </c>
      <c r="BL17" s="215">
        <v>5.82</v>
      </c>
      <c r="BM17" s="215">
        <v>4.88</v>
      </c>
      <c r="BN17" s="215">
        <v>5.31</v>
      </c>
      <c r="BO17" s="215">
        <v>5.62</v>
      </c>
      <c r="BP17" s="215">
        <v>5.46</v>
      </c>
      <c r="BQ17" s="215">
        <v>5.48</v>
      </c>
      <c r="BR17" s="215">
        <v>4.9400000000000004</v>
      </c>
      <c r="BS17" s="215">
        <v>4.7300000000000004</v>
      </c>
      <c r="BT17" s="215">
        <v>4.9800000000000004</v>
      </c>
      <c r="BU17" s="215">
        <v>5.15</v>
      </c>
      <c r="BV17" s="215">
        <v>4.9800000000000004</v>
      </c>
      <c r="BW17" s="215">
        <v>4.8099999999999996</v>
      </c>
      <c r="BX17" s="215">
        <v>5.17</v>
      </c>
      <c r="BY17" s="215">
        <v>5.33</v>
      </c>
      <c r="BZ17" s="215">
        <v>5.73</v>
      </c>
      <c r="CA17" s="215">
        <v>4.88</v>
      </c>
      <c r="CB17" s="215">
        <v>5.23</v>
      </c>
      <c r="CC17" s="215">
        <v>5.36</v>
      </c>
      <c r="CD17" s="215">
        <v>5.4</v>
      </c>
      <c r="CE17" s="215">
        <v>5.19</v>
      </c>
      <c r="CF17" s="215">
        <v>5.16</v>
      </c>
      <c r="CG17" s="215">
        <v>4.8600000000000003</v>
      </c>
      <c r="CH17" s="215">
        <v>4.8600000000000003</v>
      </c>
      <c r="CI17" s="215">
        <v>5.14</v>
      </c>
      <c r="CJ17" s="215">
        <v>5.41</v>
      </c>
      <c r="CK17" s="215">
        <v>5.69</v>
      </c>
      <c r="CL17" s="215">
        <v>5.95</v>
      </c>
      <c r="CM17" s="215">
        <v>5.83</v>
      </c>
      <c r="CN17" s="215">
        <v>5.27</v>
      </c>
      <c r="CO17" s="215">
        <v>5.22</v>
      </c>
      <c r="CP17" s="215">
        <v>5.4</v>
      </c>
      <c r="CQ17" s="215">
        <v>5.16</v>
      </c>
      <c r="CR17" s="215">
        <v>4.84</v>
      </c>
      <c r="CS17" s="215">
        <v>5.05</v>
      </c>
      <c r="CT17" s="215">
        <v>5.25</v>
      </c>
      <c r="CU17" s="215">
        <v>5.18</v>
      </c>
      <c r="CV17" s="215">
        <v>5.39</v>
      </c>
      <c r="CW17" s="215">
        <v>5.18</v>
      </c>
      <c r="CX17" s="215">
        <v>5.42</v>
      </c>
      <c r="CY17" s="215">
        <v>4.5599999999999996</v>
      </c>
      <c r="CZ17" s="215">
        <v>4.4400000000000004</v>
      </c>
      <c r="DA17" s="215">
        <v>4.4400000000000004</v>
      </c>
      <c r="DB17" s="215">
        <v>4.5</v>
      </c>
      <c r="DC17" s="215">
        <v>4.59</v>
      </c>
      <c r="DD17" s="215">
        <v>4.37</v>
      </c>
      <c r="DE17" s="215">
        <v>4.46</v>
      </c>
      <c r="DF17" s="215">
        <v>4.55</v>
      </c>
      <c r="DG17" s="215">
        <v>4.91</v>
      </c>
      <c r="DH17" s="215">
        <v>4.97</v>
      </c>
      <c r="DI17" s="215">
        <v>5</v>
      </c>
      <c r="DJ17" s="215">
        <v>4.95</v>
      </c>
      <c r="DK17" s="215">
        <v>5.16</v>
      </c>
      <c r="DL17" s="215">
        <v>5.45</v>
      </c>
      <c r="DM17" s="215">
        <v>5.51</v>
      </c>
      <c r="DN17" s="215">
        <v>5.62</v>
      </c>
      <c r="DO17" s="215">
        <v>5.87</v>
      </c>
      <c r="DP17" s="215">
        <v>5.85</v>
      </c>
      <c r="DQ17" s="215">
        <v>5.83</v>
      </c>
      <c r="DR17" s="215">
        <v>6.32</v>
      </c>
      <c r="DS17" s="215">
        <v>5.98</v>
      </c>
      <c r="DT17" s="215">
        <v>5.03</v>
      </c>
      <c r="DU17" s="215">
        <v>5.18</v>
      </c>
      <c r="DV17" s="215">
        <v>5.22</v>
      </c>
      <c r="DW17" s="215">
        <v>5.94</v>
      </c>
      <c r="DX17" s="215">
        <v>6.17</v>
      </c>
      <c r="DY17" s="215">
        <v>6.14</v>
      </c>
      <c r="DZ17" s="215">
        <v>6.54</v>
      </c>
      <c r="EA17" s="215">
        <v>6.94</v>
      </c>
      <c r="EB17" s="215">
        <v>7.17</v>
      </c>
      <c r="EC17" s="215">
        <v>6.95</v>
      </c>
      <c r="ED17" s="215">
        <v>6.81</v>
      </c>
      <c r="EE17" s="215">
        <v>6.77</v>
      </c>
      <c r="EF17" s="215">
        <v>6.85</v>
      </c>
      <c r="EG17" s="215">
        <v>7.48</v>
      </c>
    </row>
    <row r="18" spans="1:137" x14ac:dyDescent="0.3">
      <c r="A18" s="210" t="s">
        <v>988</v>
      </c>
      <c r="B18" s="214" t="s">
        <v>989</v>
      </c>
      <c r="C18" s="215">
        <v>3.64</v>
      </c>
      <c r="D18" s="215">
        <v>3.58</v>
      </c>
      <c r="E18" s="215">
        <v>3.61</v>
      </c>
      <c r="F18" s="215">
        <v>3.52</v>
      </c>
      <c r="G18" s="215">
        <v>3.59</v>
      </c>
      <c r="H18" s="215">
        <v>3.42</v>
      </c>
      <c r="I18" s="215">
        <v>3.35</v>
      </c>
      <c r="J18" s="215">
        <v>3.32</v>
      </c>
      <c r="K18" s="215">
        <v>3.36</v>
      </c>
      <c r="L18" s="215">
        <v>3.48</v>
      </c>
      <c r="M18" s="215">
        <v>3.38</v>
      </c>
      <c r="N18" s="215">
        <v>3.27</v>
      </c>
      <c r="O18" s="215">
        <v>3.18</v>
      </c>
      <c r="P18" s="215">
        <v>3.19</v>
      </c>
      <c r="Q18" s="215">
        <v>3.56</v>
      </c>
      <c r="R18" s="215">
        <v>3.58</v>
      </c>
      <c r="S18" s="215">
        <v>3.82</v>
      </c>
      <c r="T18" s="215">
        <v>3.93</v>
      </c>
      <c r="U18" s="215">
        <v>3.95</v>
      </c>
      <c r="V18" s="215">
        <v>3.96</v>
      </c>
      <c r="W18" s="215">
        <v>4.0199999999999996</v>
      </c>
      <c r="X18" s="215">
        <v>3.87</v>
      </c>
      <c r="Y18" s="215">
        <v>4.0199999999999996</v>
      </c>
      <c r="Z18" s="215">
        <v>4.04</v>
      </c>
      <c r="AA18" s="215">
        <v>3.98</v>
      </c>
      <c r="AB18" s="215">
        <v>4.33</v>
      </c>
      <c r="AC18" s="215">
        <v>4.1900000000000004</v>
      </c>
      <c r="AD18" s="215">
        <v>4.32</v>
      </c>
      <c r="AE18" s="215">
        <v>4.2300000000000004</v>
      </c>
      <c r="AF18" s="215">
        <v>4.26</v>
      </c>
      <c r="AG18" s="215">
        <v>4.2300000000000004</v>
      </c>
      <c r="AH18" s="215">
        <v>4.3099999999999996</v>
      </c>
      <c r="AI18" s="215">
        <v>4.13</v>
      </c>
      <c r="AJ18" s="215">
        <v>4.24</v>
      </c>
      <c r="AK18" s="215">
        <v>4.32</v>
      </c>
      <c r="AL18" s="215">
        <v>3.97</v>
      </c>
      <c r="AM18" s="215">
        <v>4.05</v>
      </c>
      <c r="AN18" s="215">
        <v>4.33</v>
      </c>
      <c r="AO18" s="215">
        <v>4.4800000000000004</v>
      </c>
      <c r="AP18" s="215">
        <v>4.54</v>
      </c>
      <c r="AQ18" s="215">
        <v>4.97</v>
      </c>
      <c r="AR18" s="215">
        <v>5.21</v>
      </c>
      <c r="AS18" s="215">
        <v>5.29</v>
      </c>
      <c r="AT18" s="215">
        <v>5.25</v>
      </c>
      <c r="AU18" s="215">
        <v>5.21</v>
      </c>
      <c r="AV18" s="215">
        <v>5.12</v>
      </c>
      <c r="AW18" s="215">
        <v>5.23</v>
      </c>
      <c r="AX18" s="215">
        <v>4.99</v>
      </c>
      <c r="AY18" s="215">
        <v>5.19</v>
      </c>
      <c r="AZ18" s="215">
        <v>5.19</v>
      </c>
      <c r="BA18" s="215">
        <v>5.31</v>
      </c>
      <c r="BB18" s="215">
        <v>5.34</v>
      </c>
      <c r="BC18" s="215">
        <v>5.31</v>
      </c>
      <c r="BD18" s="215">
        <v>5.41</v>
      </c>
      <c r="BE18" s="215">
        <v>5.37</v>
      </c>
      <c r="BF18" s="215">
        <v>5.4</v>
      </c>
      <c r="BG18" s="215">
        <v>5.64</v>
      </c>
      <c r="BH18" s="215">
        <v>5.58</v>
      </c>
      <c r="BI18" s="215">
        <v>5.57</v>
      </c>
      <c r="BJ18" s="215">
        <v>5.62</v>
      </c>
      <c r="BK18" s="215">
        <v>5.98</v>
      </c>
      <c r="BL18" s="215">
        <v>5.88</v>
      </c>
      <c r="BM18" s="215">
        <v>5.55</v>
      </c>
      <c r="BN18" s="215">
        <v>5.89</v>
      </c>
      <c r="BO18" s="215">
        <v>5.87</v>
      </c>
      <c r="BP18" s="215">
        <v>5.55</v>
      </c>
      <c r="BQ18" s="215">
        <v>5.78</v>
      </c>
      <c r="BR18" s="215">
        <v>4.97</v>
      </c>
      <c r="BS18" s="215">
        <v>4.96</v>
      </c>
      <c r="BT18" s="215">
        <v>5.14</v>
      </c>
      <c r="BU18" s="215">
        <v>5.44</v>
      </c>
      <c r="BV18" s="215">
        <v>5.0199999999999996</v>
      </c>
      <c r="BW18" s="215">
        <v>5.2</v>
      </c>
      <c r="BX18" s="215">
        <v>5.32</v>
      </c>
      <c r="BY18" s="215">
        <v>5.75</v>
      </c>
      <c r="BZ18" s="215">
        <v>5.9</v>
      </c>
      <c r="CA18" s="215">
        <v>5.27</v>
      </c>
      <c r="CB18" s="215">
        <v>5.47</v>
      </c>
      <c r="CC18" s="215">
        <v>5.4</v>
      </c>
      <c r="CD18" s="215">
        <v>5.64</v>
      </c>
      <c r="CE18" s="215">
        <v>5.26</v>
      </c>
      <c r="CF18" s="215">
        <v>5.28</v>
      </c>
      <c r="CG18" s="215">
        <v>4.8600000000000003</v>
      </c>
      <c r="CH18" s="215">
        <v>5.15</v>
      </c>
      <c r="CI18" s="215">
        <v>5.52</v>
      </c>
      <c r="CJ18" s="215">
        <v>5.67</v>
      </c>
      <c r="CK18" s="215">
        <v>6.13</v>
      </c>
      <c r="CL18" s="215">
        <v>5.95</v>
      </c>
      <c r="CM18" s="215">
        <v>5.83</v>
      </c>
      <c r="CN18" s="215">
        <v>5.52</v>
      </c>
      <c r="CO18" s="215">
        <v>5.64</v>
      </c>
      <c r="CP18" s="215">
        <v>5.48</v>
      </c>
      <c r="CQ18" s="215">
        <v>5.16</v>
      </c>
      <c r="CR18" s="215">
        <v>5.07</v>
      </c>
      <c r="CS18" s="215">
        <v>5.39</v>
      </c>
      <c r="CT18" s="215">
        <v>5.25</v>
      </c>
      <c r="CU18" s="215">
        <v>5.55</v>
      </c>
      <c r="CV18" s="215">
        <v>5.7</v>
      </c>
      <c r="CW18" s="215">
        <v>5.5</v>
      </c>
      <c r="CX18" s="215">
        <v>5.44</v>
      </c>
      <c r="CY18" s="215">
        <v>4.5599999999999996</v>
      </c>
      <c r="CZ18" s="215">
        <v>4.47</v>
      </c>
      <c r="DA18" s="215">
        <v>4.53</v>
      </c>
      <c r="DB18" s="215">
        <v>4.6500000000000004</v>
      </c>
      <c r="DC18" s="215">
        <v>4.5999999999999996</v>
      </c>
      <c r="DD18" s="215">
        <v>4.43</v>
      </c>
      <c r="DE18" s="215">
        <v>4.62</v>
      </c>
      <c r="DF18" s="215">
        <v>4.95</v>
      </c>
      <c r="DG18" s="215">
        <v>5.0599999999999996</v>
      </c>
      <c r="DH18" s="215">
        <v>5.18</v>
      </c>
      <c r="DI18" s="215">
        <v>5.0999999999999996</v>
      </c>
      <c r="DJ18" s="215">
        <v>5.14</v>
      </c>
      <c r="DK18" s="215">
        <v>5.49</v>
      </c>
      <c r="DL18" s="215">
        <v>5.55</v>
      </c>
      <c r="DM18" s="215">
        <v>5.77</v>
      </c>
      <c r="DN18" s="215">
        <v>6.13</v>
      </c>
      <c r="DO18" s="215">
        <v>5.94</v>
      </c>
      <c r="DP18" s="215">
        <v>5.93</v>
      </c>
      <c r="DQ18" s="215">
        <v>6.92</v>
      </c>
      <c r="DR18" s="215">
        <v>6.43</v>
      </c>
      <c r="DS18" s="215">
        <v>6.09</v>
      </c>
      <c r="DT18" s="215">
        <v>5.26</v>
      </c>
      <c r="DU18" s="215">
        <v>5.52</v>
      </c>
      <c r="DV18" s="215">
        <v>5.92</v>
      </c>
      <c r="DW18" s="215">
        <v>6.64</v>
      </c>
      <c r="DX18" s="215">
        <v>6.21</v>
      </c>
      <c r="DY18" s="215">
        <v>6.57</v>
      </c>
      <c r="DZ18" s="215">
        <v>7.08</v>
      </c>
      <c r="EA18" s="215">
        <v>7.35</v>
      </c>
      <c r="EB18" s="215">
        <v>7.33</v>
      </c>
      <c r="EC18" s="215">
        <v>7.17</v>
      </c>
      <c r="ED18" s="215">
        <v>6.88</v>
      </c>
      <c r="EE18" s="215">
        <v>6.89</v>
      </c>
      <c r="EF18" s="215">
        <v>7.64</v>
      </c>
      <c r="EG18" s="215">
        <v>7.48</v>
      </c>
    </row>
    <row r="19" spans="1:137" x14ac:dyDescent="0.3">
      <c r="A19" s="216" t="s">
        <v>991</v>
      </c>
      <c r="B19" s="217" t="s">
        <v>205</v>
      </c>
      <c r="C19" s="218">
        <v>13.68</v>
      </c>
      <c r="D19" s="218">
        <v>13.46</v>
      </c>
      <c r="E19" s="218">
        <v>13.57</v>
      </c>
      <c r="F19" s="218">
        <v>13.53</v>
      </c>
      <c r="G19" s="218">
        <v>12.46</v>
      </c>
      <c r="H19" s="218">
        <v>12.11</v>
      </c>
      <c r="I19" s="218">
        <v>11.96</v>
      </c>
      <c r="J19" s="218">
        <v>12.06</v>
      </c>
      <c r="K19" s="218">
        <v>11.39</v>
      </c>
      <c r="L19" s="218">
        <v>11.96</v>
      </c>
      <c r="M19" s="218">
        <v>12.42</v>
      </c>
      <c r="N19" s="218">
        <v>11.98</v>
      </c>
      <c r="O19" s="218">
        <v>11.7</v>
      </c>
      <c r="P19" s="218">
        <v>12.02</v>
      </c>
      <c r="Q19" s="218">
        <v>11.97</v>
      </c>
      <c r="R19" s="218">
        <v>12.18</v>
      </c>
      <c r="S19" s="218">
        <v>12.79</v>
      </c>
      <c r="T19" s="218">
        <v>13.25</v>
      </c>
      <c r="U19" s="218">
        <v>13.49</v>
      </c>
      <c r="V19" s="218">
        <v>14.67</v>
      </c>
      <c r="W19" s="218">
        <v>14.9</v>
      </c>
      <c r="X19" s="218">
        <v>14.7</v>
      </c>
      <c r="Y19" s="218">
        <v>14.45</v>
      </c>
      <c r="Z19" s="218">
        <v>14.55</v>
      </c>
      <c r="AA19" s="218">
        <v>14.64</v>
      </c>
      <c r="AB19" s="218">
        <v>14.92</v>
      </c>
      <c r="AC19" s="218">
        <v>15.46</v>
      </c>
      <c r="AD19" s="218">
        <v>15.56</v>
      </c>
      <c r="AE19" s="218">
        <v>14.94</v>
      </c>
      <c r="AF19" s="218">
        <v>14.89</v>
      </c>
      <c r="AG19" s="218">
        <v>14.68</v>
      </c>
      <c r="AH19" s="218">
        <v>13.45</v>
      </c>
      <c r="AI19" s="218">
        <v>13.22</v>
      </c>
      <c r="AJ19" s="218">
        <v>13.03</v>
      </c>
      <c r="AK19" s="218">
        <v>13.4</v>
      </c>
      <c r="AL19" s="218">
        <v>12.99</v>
      </c>
      <c r="AM19" s="218">
        <v>12.61</v>
      </c>
      <c r="AN19" s="218">
        <v>12.63</v>
      </c>
      <c r="AO19" s="218">
        <v>12.98</v>
      </c>
      <c r="AP19" s="218">
        <v>13.08</v>
      </c>
      <c r="AQ19" s="218">
        <v>14.58</v>
      </c>
      <c r="AR19" s="218">
        <v>15.29</v>
      </c>
      <c r="AS19" s="218">
        <v>15.72</v>
      </c>
      <c r="AT19" s="218">
        <v>16.100000000000001</v>
      </c>
      <c r="AU19" s="218">
        <v>16.16</v>
      </c>
      <c r="AV19" s="218">
        <v>16.07</v>
      </c>
      <c r="AW19" s="218">
        <v>15.53</v>
      </c>
      <c r="AX19" s="218">
        <v>15.42</v>
      </c>
      <c r="AY19" s="218">
        <v>15.35</v>
      </c>
      <c r="AZ19" s="218">
        <v>15.58</v>
      </c>
      <c r="BA19" s="218">
        <v>15.6</v>
      </c>
      <c r="BB19" s="218">
        <v>15.84</v>
      </c>
      <c r="BC19" s="218">
        <v>15.07</v>
      </c>
      <c r="BD19" s="218">
        <v>15.29</v>
      </c>
      <c r="BE19" s="218">
        <v>15.44</v>
      </c>
      <c r="BF19" s="218">
        <v>15.2</v>
      </c>
      <c r="BG19" s="218">
        <v>15.47</v>
      </c>
      <c r="BH19" s="218">
        <v>15.61</v>
      </c>
      <c r="BI19" s="218">
        <v>14.32</v>
      </c>
      <c r="BJ19" s="218">
        <v>14.52</v>
      </c>
      <c r="BK19" s="218">
        <v>14.82</v>
      </c>
      <c r="BL19" s="218">
        <v>15.01</v>
      </c>
      <c r="BM19" s="218">
        <v>13.67</v>
      </c>
      <c r="BN19" s="218">
        <v>13.89</v>
      </c>
      <c r="BO19" s="218">
        <v>12.91</v>
      </c>
      <c r="BP19" s="218">
        <v>12.92</v>
      </c>
      <c r="BQ19" s="218">
        <v>12.82</v>
      </c>
      <c r="BR19" s="218">
        <v>11.6</v>
      </c>
      <c r="BS19" s="218">
        <v>10.99</v>
      </c>
      <c r="BT19" s="218">
        <v>11.39</v>
      </c>
      <c r="BU19" s="218">
        <v>12.23</v>
      </c>
      <c r="BV19" s="218">
        <v>12.19</v>
      </c>
      <c r="BW19" s="218">
        <v>11.85</v>
      </c>
      <c r="BX19" s="218">
        <v>11.98</v>
      </c>
      <c r="BY19" s="218">
        <v>12.43</v>
      </c>
      <c r="BZ19" s="218">
        <v>12.94</v>
      </c>
      <c r="CA19" s="218">
        <v>12.61</v>
      </c>
      <c r="CB19" s="218">
        <v>12.61</v>
      </c>
      <c r="CC19" s="218">
        <v>12.3</v>
      </c>
      <c r="CD19" s="218">
        <v>12.7</v>
      </c>
      <c r="CE19" s="218">
        <v>12.73</v>
      </c>
      <c r="CF19" s="218">
        <v>12.51</v>
      </c>
      <c r="CG19" s="218">
        <v>12.02</v>
      </c>
      <c r="CH19" s="218">
        <v>12.1</v>
      </c>
      <c r="CI19" s="218">
        <v>12.57</v>
      </c>
      <c r="CJ19" s="218">
        <v>12.53</v>
      </c>
      <c r="CK19" s="218">
        <v>12.84</v>
      </c>
      <c r="CL19" s="218">
        <v>13.45</v>
      </c>
      <c r="CM19" s="218">
        <v>13.02</v>
      </c>
      <c r="CN19" s="218">
        <v>12.43</v>
      </c>
      <c r="CO19" s="218">
        <v>12.49</v>
      </c>
      <c r="CP19" s="218">
        <v>12.65</v>
      </c>
      <c r="CQ19" s="218">
        <v>12.57</v>
      </c>
      <c r="CR19" s="218">
        <v>11.64</v>
      </c>
      <c r="CS19" s="218">
        <v>12.15</v>
      </c>
      <c r="CT19" s="218">
        <v>12.35</v>
      </c>
      <c r="CU19" s="218">
        <v>12.24</v>
      </c>
      <c r="CV19" s="218">
        <v>12.22</v>
      </c>
      <c r="CW19" s="218">
        <v>13.09</v>
      </c>
      <c r="CX19" s="218">
        <v>13.52</v>
      </c>
      <c r="CY19" s="218">
        <v>12.28</v>
      </c>
      <c r="CZ19" s="218">
        <v>11.98</v>
      </c>
      <c r="DA19" s="218">
        <v>12.05</v>
      </c>
      <c r="DB19" s="218">
        <v>11.74</v>
      </c>
      <c r="DC19" s="218">
        <v>11.7</v>
      </c>
      <c r="DD19" s="218">
        <v>11.49</v>
      </c>
      <c r="DE19" s="218">
        <v>11.69</v>
      </c>
      <c r="DF19" s="218">
        <v>11.85</v>
      </c>
      <c r="DG19" s="218">
        <v>11.83</v>
      </c>
      <c r="DH19" s="218">
        <v>11.5</v>
      </c>
      <c r="DI19" s="218">
        <v>11.25</v>
      </c>
      <c r="DJ19" s="218">
        <v>11.24</v>
      </c>
      <c r="DK19" s="218">
        <v>12.42</v>
      </c>
      <c r="DL19" s="218">
        <v>12.58</v>
      </c>
      <c r="DM19" s="218">
        <v>12.71</v>
      </c>
      <c r="DN19" s="218">
        <v>13.44</v>
      </c>
      <c r="DO19" s="218">
        <v>13.77</v>
      </c>
      <c r="DP19" s="218">
        <v>13.86</v>
      </c>
      <c r="DQ19" s="218">
        <v>14.98</v>
      </c>
      <c r="DR19" s="218">
        <v>14.82</v>
      </c>
      <c r="DS19" s="218">
        <v>14.29</v>
      </c>
      <c r="DT19" s="218">
        <v>13.91</v>
      </c>
      <c r="DU19" s="218">
        <v>12.03</v>
      </c>
      <c r="DV19" s="218">
        <v>12.08</v>
      </c>
      <c r="DW19" s="218">
        <v>12.56</v>
      </c>
      <c r="DX19" s="218">
        <v>12.46</v>
      </c>
      <c r="DY19" s="218">
        <v>12.61</v>
      </c>
      <c r="DZ19" s="218">
        <v>13.25</v>
      </c>
      <c r="EA19" s="218">
        <v>13.49</v>
      </c>
      <c r="EB19" s="218">
        <v>14.18</v>
      </c>
      <c r="EC19" s="218">
        <v>13.55</v>
      </c>
      <c r="ED19" s="218">
        <v>13.15</v>
      </c>
      <c r="EE19" s="218">
        <v>13.09</v>
      </c>
      <c r="EF19" s="218">
        <v>13.41</v>
      </c>
      <c r="EG19" s="218">
        <v>14.25</v>
      </c>
    </row>
    <row r="20" spans="1:137" x14ac:dyDescent="0.3">
      <c r="A20" s="210" t="s">
        <v>190</v>
      </c>
      <c r="B20" s="214" t="s">
        <v>985</v>
      </c>
      <c r="C20" s="215">
        <v>13.89</v>
      </c>
      <c r="D20" s="215">
        <v>13.79</v>
      </c>
      <c r="E20" s="215">
        <v>13.85</v>
      </c>
      <c r="F20" s="215">
        <v>13.7</v>
      </c>
      <c r="G20" s="215">
        <v>13.48</v>
      </c>
      <c r="H20" s="215">
        <v>12.45</v>
      </c>
      <c r="I20" s="215">
        <v>12.18</v>
      </c>
      <c r="J20" s="215">
        <v>12.43</v>
      </c>
      <c r="K20" s="215">
        <v>11.7</v>
      </c>
      <c r="L20" s="215">
        <v>12.14</v>
      </c>
      <c r="M20" s="215">
        <v>12.77</v>
      </c>
      <c r="N20" s="215">
        <v>12.36</v>
      </c>
      <c r="O20" s="215">
        <v>11.95</v>
      </c>
      <c r="P20" s="215">
        <v>12.27</v>
      </c>
      <c r="Q20" s="215">
        <v>12.24</v>
      </c>
      <c r="R20" s="215">
        <v>12.37</v>
      </c>
      <c r="S20" s="215">
        <v>13.04</v>
      </c>
      <c r="T20" s="215">
        <v>13.57</v>
      </c>
      <c r="U20" s="215">
        <v>13.61</v>
      </c>
      <c r="V20" s="215">
        <v>15.19</v>
      </c>
      <c r="W20" s="215">
        <v>15.25</v>
      </c>
      <c r="X20" s="215">
        <v>14.93</v>
      </c>
      <c r="Y20" s="215">
        <v>14.83</v>
      </c>
      <c r="Z20" s="215">
        <v>14.8</v>
      </c>
      <c r="AA20" s="215">
        <v>14.78</v>
      </c>
      <c r="AB20" s="215">
        <v>15.45</v>
      </c>
      <c r="AC20" s="215">
        <v>15.63</v>
      </c>
      <c r="AD20" s="215">
        <v>15.73</v>
      </c>
      <c r="AE20" s="215">
        <v>15.61</v>
      </c>
      <c r="AF20" s="215">
        <v>15.08</v>
      </c>
      <c r="AG20" s="215">
        <v>14.88</v>
      </c>
      <c r="AH20" s="215">
        <v>14.97</v>
      </c>
      <c r="AI20" s="215">
        <v>13.41</v>
      </c>
      <c r="AJ20" s="215">
        <v>13.25</v>
      </c>
      <c r="AK20" s="215">
        <v>13.56</v>
      </c>
      <c r="AL20" s="215">
        <v>13.45</v>
      </c>
      <c r="AM20" s="215">
        <v>12.7</v>
      </c>
      <c r="AN20" s="215">
        <v>12.83</v>
      </c>
      <c r="AO20" s="215">
        <v>13.23</v>
      </c>
      <c r="AP20" s="215">
        <v>13.2</v>
      </c>
      <c r="AQ20" s="215">
        <v>15.26</v>
      </c>
      <c r="AR20" s="215">
        <v>15.7</v>
      </c>
      <c r="AS20" s="215">
        <v>15.84</v>
      </c>
      <c r="AT20" s="215">
        <v>16.23</v>
      </c>
      <c r="AU20" s="215">
        <v>16.36</v>
      </c>
      <c r="AV20" s="215">
        <v>16.2</v>
      </c>
      <c r="AW20" s="215">
        <v>15.96</v>
      </c>
      <c r="AX20" s="215">
        <v>15.76</v>
      </c>
      <c r="AY20" s="215">
        <v>15.66</v>
      </c>
      <c r="AZ20" s="215">
        <v>15.76</v>
      </c>
      <c r="BA20" s="215">
        <v>15.75</v>
      </c>
      <c r="BB20" s="215">
        <v>16.010000000000002</v>
      </c>
      <c r="BC20" s="215">
        <v>15.85</v>
      </c>
      <c r="BD20" s="215">
        <v>15.56</v>
      </c>
      <c r="BE20" s="215">
        <v>15.57</v>
      </c>
      <c r="BF20" s="215">
        <v>15.43</v>
      </c>
      <c r="BG20" s="215">
        <v>15.75</v>
      </c>
      <c r="BH20" s="215">
        <v>15.78</v>
      </c>
      <c r="BI20" s="215">
        <v>14.44</v>
      </c>
      <c r="BJ20" s="215">
        <v>14.68</v>
      </c>
      <c r="BK20" s="215">
        <v>15.19</v>
      </c>
      <c r="BL20" s="215">
        <v>15.18</v>
      </c>
      <c r="BM20" s="215">
        <v>15.53</v>
      </c>
      <c r="BN20" s="215">
        <v>14.47</v>
      </c>
      <c r="BO20" s="215">
        <v>13.82</v>
      </c>
      <c r="BP20" s="215">
        <v>13.51</v>
      </c>
      <c r="BQ20" s="215">
        <v>13.12</v>
      </c>
      <c r="BR20" s="215">
        <v>12.96</v>
      </c>
      <c r="BS20" s="215">
        <v>11.27</v>
      </c>
      <c r="BT20" s="215">
        <v>11.76</v>
      </c>
      <c r="BU20" s="215">
        <v>12.61</v>
      </c>
      <c r="BV20" s="215">
        <v>12.39</v>
      </c>
      <c r="BW20" s="215">
        <v>12.06</v>
      </c>
      <c r="BX20" s="215">
        <v>12.11</v>
      </c>
      <c r="BY20" s="215">
        <v>12.76</v>
      </c>
      <c r="BZ20" s="215">
        <v>13.17</v>
      </c>
      <c r="CA20" s="215">
        <v>13.07</v>
      </c>
      <c r="CB20" s="215">
        <v>12.96</v>
      </c>
      <c r="CC20" s="215">
        <v>12.44</v>
      </c>
      <c r="CD20" s="215">
        <v>12.86</v>
      </c>
      <c r="CE20" s="215">
        <v>13.03</v>
      </c>
      <c r="CF20" s="215">
        <v>12.72</v>
      </c>
      <c r="CG20" s="215">
        <v>12.57</v>
      </c>
      <c r="CH20" s="215">
        <v>12.37</v>
      </c>
      <c r="CI20" s="215">
        <v>12.71</v>
      </c>
      <c r="CJ20" s="215">
        <v>12.71</v>
      </c>
      <c r="CK20" s="215">
        <v>13.45</v>
      </c>
      <c r="CL20" s="215">
        <v>13.69</v>
      </c>
      <c r="CM20" s="215">
        <v>13.26</v>
      </c>
      <c r="CN20" s="215">
        <v>13.06</v>
      </c>
      <c r="CO20" s="215">
        <v>13.17</v>
      </c>
      <c r="CP20" s="215">
        <v>13.15</v>
      </c>
      <c r="CQ20" s="215">
        <v>13.05</v>
      </c>
      <c r="CR20" s="215">
        <v>12.16</v>
      </c>
      <c r="CS20" s="215">
        <v>12.62</v>
      </c>
      <c r="CT20" s="215">
        <v>12.67</v>
      </c>
      <c r="CU20" s="215">
        <v>12.42</v>
      </c>
      <c r="CV20" s="215">
        <v>13.26</v>
      </c>
      <c r="CW20" s="215">
        <v>13.32</v>
      </c>
      <c r="CX20" s="215">
        <v>13.68</v>
      </c>
      <c r="CY20" s="215">
        <v>13.6</v>
      </c>
      <c r="CZ20" s="215">
        <v>12.1</v>
      </c>
      <c r="DA20" s="215">
        <v>12.24</v>
      </c>
      <c r="DB20" s="215">
        <v>12.01</v>
      </c>
      <c r="DC20" s="215">
        <v>11.93</v>
      </c>
      <c r="DD20" s="215">
        <v>11.69</v>
      </c>
      <c r="DE20" s="215">
        <v>11.83</v>
      </c>
      <c r="DF20" s="215">
        <v>12.08</v>
      </c>
      <c r="DG20" s="215">
        <v>12.12</v>
      </c>
      <c r="DH20" s="215">
        <v>11.7</v>
      </c>
      <c r="DI20" s="215">
        <v>11.42</v>
      </c>
      <c r="DJ20" s="215">
        <v>11.4</v>
      </c>
      <c r="DK20" s="215">
        <v>12.82</v>
      </c>
      <c r="DL20" s="215">
        <v>12.71</v>
      </c>
      <c r="DM20" s="215">
        <v>12.99</v>
      </c>
      <c r="DN20" s="215">
        <v>13.71</v>
      </c>
      <c r="DO20" s="215">
        <v>13.88</v>
      </c>
      <c r="DP20" s="215">
        <v>14.07</v>
      </c>
      <c r="DQ20" s="215">
        <v>15.43</v>
      </c>
      <c r="DR20" s="215">
        <v>15.17</v>
      </c>
      <c r="DS20" s="215">
        <v>14.74</v>
      </c>
      <c r="DT20" s="215">
        <v>14.7</v>
      </c>
      <c r="DU20" s="215">
        <v>12.18</v>
      </c>
      <c r="DV20" s="215">
        <v>12.52</v>
      </c>
      <c r="DW20" s="215">
        <v>12.75</v>
      </c>
      <c r="DX20" s="215">
        <v>12.68</v>
      </c>
      <c r="DY20" s="215">
        <v>13</v>
      </c>
      <c r="DZ20" s="215">
        <v>13.4</v>
      </c>
      <c r="EA20" s="215">
        <v>14.02</v>
      </c>
      <c r="EB20" s="215">
        <v>14.37</v>
      </c>
      <c r="EC20" s="215">
        <v>14.24</v>
      </c>
      <c r="ED20" s="215">
        <v>13.37</v>
      </c>
      <c r="EE20" s="215">
        <v>13.46</v>
      </c>
      <c r="EF20" s="215">
        <v>14.32</v>
      </c>
      <c r="EG20" s="215">
        <v>14.27</v>
      </c>
    </row>
    <row r="21" spans="1:137" x14ac:dyDescent="0.3">
      <c r="A21" s="210" t="s">
        <v>986</v>
      </c>
      <c r="B21" s="214" t="s">
        <v>987</v>
      </c>
      <c r="C21" s="215">
        <v>13.4</v>
      </c>
      <c r="D21" s="215">
        <v>13.13</v>
      </c>
      <c r="E21" s="215">
        <v>13.35</v>
      </c>
      <c r="F21" s="215">
        <v>13.35</v>
      </c>
      <c r="G21" s="215">
        <v>12.12</v>
      </c>
      <c r="H21" s="215">
        <v>11.81</v>
      </c>
      <c r="I21" s="215">
        <v>11.8</v>
      </c>
      <c r="J21" s="215">
        <v>11.56</v>
      </c>
      <c r="K21" s="215">
        <v>11.21</v>
      </c>
      <c r="L21" s="215">
        <v>11.68</v>
      </c>
      <c r="M21" s="215">
        <v>12.13</v>
      </c>
      <c r="N21" s="215">
        <v>11.68</v>
      </c>
      <c r="O21" s="215">
        <v>11.35</v>
      </c>
      <c r="P21" s="215">
        <v>11.57</v>
      </c>
      <c r="Q21" s="215">
        <v>11.64</v>
      </c>
      <c r="R21" s="215">
        <v>11.97</v>
      </c>
      <c r="S21" s="215">
        <v>12.29</v>
      </c>
      <c r="T21" s="215">
        <v>13.01</v>
      </c>
      <c r="U21" s="215">
        <v>13.33</v>
      </c>
      <c r="V21" s="215">
        <v>13.29</v>
      </c>
      <c r="W21" s="215">
        <v>14.53</v>
      </c>
      <c r="X21" s="215">
        <v>14.54</v>
      </c>
      <c r="Y21" s="215">
        <v>14.02</v>
      </c>
      <c r="Z21" s="215">
        <v>14.35</v>
      </c>
      <c r="AA21" s="215">
        <v>14.53</v>
      </c>
      <c r="AB21" s="215">
        <v>14.58</v>
      </c>
      <c r="AC21" s="215">
        <v>15.26</v>
      </c>
      <c r="AD21" s="215">
        <v>15.38</v>
      </c>
      <c r="AE21" s="215">
        <v>14.54</v>
      </c>
      <c r="AF21" s="215">
        <v>14.71</v>
      </c>
      <c r="AG21" s="215">
        <v>14.54</v>
      </c>
      <c r="AH21" s="215">
        <v>13.11</v>
      </c>
      <c r="AI21" s="215">
        <v>13.01</v>
      </c>
      <c r="AJ21" s="215">
        <v>12.87</v>
      </c>
      <c r="AK21" s="215">
        <v>13.19</v>
      </c>
      <c r="AL21" s="215">
        <v>12.55</v>
      </c>
      <c r="AM21" s="215">
        <v>12.45</v>
      </c>
      <c r="AN21" s="215">
        <v>12.42</v>
      </c>
      <c r="AO21" s="215">
        <v>12.59</v>
      </c>
      <c r="AP21" s="215">
        <v>12.98</v>
      </c>
      <c r="AQ21" s="215">
        <v>13.11</v>
      </c>
      <c r="AR21" s="215">
        <v>14.59</v>
      </c>
      <c r="AS21" s="215">
        <v>15.59</v>
      </c>
      <c r="AT21" s="215">
        <v>15.78</v>
      </c>
      <c r="AU21" s="215">
        <v>15.81</v>
      </c>
      <c r="AV21" s="215">
        <v>15.74</v>
      </c>
      <c r="AW21" s="215">
        <v>15.25</v>
      </c>
      <c r="AX21" s="215">
        <v>14.99</v>
      </c>
      <c r="AY21" s="215">
        <v>14.96</v>
      </c>
      <c r="AZ21" s="215">
        <v>15.27</v>
      </c>
      <c r="BA21" s="215">
        <v>15.41</v>
      </c>
      <c r="BB21" s="215">
        <v>15.71</v>
      </c>
      <c r="BC21" s="215">
        <v>14.6</v>
      </c>
      <c r="BD21" s="215">
        <v>14.99</v>
      </c>
      <c r="BE21" s="215">
        <v>15.21</v>
      </c>
      <c r="BF21" s="215">
        <v>14.81</v>
      </c>
      <c r="BG21" s="215">
        <v>15.3</v>
      </c>
      <c r="BH21" s="215">
        <v>15.36</v>
      </c>
      <c r="BI21" s="215">
        <v>14.12</v>
      </c>
      <c r="BJ21" s="215">
        <v>14.33</v>
      </c>
      <c r="BK21" s="215">
        <v>14.44</v>
      </c>
      <c r="BL21" s="215">
        <v>14.39</v>
      </c>
      <c r="BM21" s="215">
        <v>11.89</v>
      </c>
      <c r="BN21" s="215">
        <v>12.82</v>
      </c>
      <c r="BO21" s="215">
        <v>12.58</v>
      </c>
      <c r="BP21" s="215">
        <v>12.26</v>
      </c>
      <c r="BQ21" s="215">
        <v>12.47</v>
      </c>
      <c r="BR21" s="215">
        <v>11.16</v>
      </c>
      <c r="BS21" s="215">
        <v>10.75</v>
      </c>
      <c r="BT21" s="215">
        <v>10.99</v>
      </c>
      <c r="BU21" s="215">
        <v>11.43</v>
      </c>
      <c r="BV21" s="215">
        <v>12.05</v>
      </c>
      <c r="BW21" s="215">
        <v>11.63</v>
      </c>
      <c r="BX21" s="215">
        <v>11.83</v>
      </c>
      <c r="BY21" s="215">
        <v>11.89</v>
      </c>
      <c r="BZ21" s="215">
        <v>12.72</v>
      </c>
      <c r="CA21" s="215">
        <v>12.47</v>
      </c>
      <c r="CB21" s="215">
        <v>12.31</v>
      </c>
      <c r="CC21" s="215">
        <v>12.13</v>
      </c>
      <c r="CD21" s="215">
        <v>12.22</v>
      </c>
      <c r="CE21" s="215">
        <v>12.25</v>
      </c>
      <c r="CF21" s="215">
        <v>12.22</v>
      </c>
      <c r="CG21" s="215">
        <v>11.66</v>
      </c>
      <c r="CH21" s="215">
        <v>11.65</v>
      </c>
      <c r="CI21" s="215">
        <v>12.34</v>
      </c>
      <c r="CJ21" s="215">
        <v>12.04</v>
      </c>
      <c r="CK21" s="215">
        <v>12.24</v>
      </c>
      <c r="CL21" s="215">
        <v>13.09</v>
      </c>
      <c r="CM21" s="215">
        <v>12.76</v>
      </c>
      <c r="CN21" s="215">
        <v>11.8</v>
      </c>
      <c r="CO21" s="215">
        <v>12.18</v>
      </c>
      <c r="CP21" s="215">
        <v>12.27</v>
      </c>
      <c r="CQ21" s="215">
        <v>11.78</v>
      </c>
      <c r="CR21" s="215">
        <v>11.27</v>
      </c>
      <c r="CS21" s="215">
        <v>11.81</v>
      </c>
      <c r="CT21" s="215">
        <v>12.06</v>
      </c>
      <c r="CU21" s="215">
        <v>11.96</v>
      </c>
      <c r="CV21" s="215">
        <v>11.97</v>
      </c>
      <c r="CW21" s="215">
        <v>12.72</v>
      </c>
      <c r="CX21" s="215">
        <v>13.24</v>
      </c>
      <c r="CY21" s="215">
        <v>11.84</v>
      </c>
      <c r="CZ21" s="215">
        <v>11.85</v>
      </c>
      <c r="DA21" s="215">
        <v>11.87</v>
      </c>
      <c r="DB21" s="215">
        <v>11.6</v>
      </c>
      <c r="DC21" s="215">
        <v>11.39</v>
      </c>
      <c r="DD21" s="215">
        <v>11.16</v>
      </c>
      <c r="DE21" s="215">
        <v>11.45</v>
      </c>
      <c r="DF21" s="215">
        <v>11.58</v>
      </c>
      <c r="DG21" s="215">
        <v>11.5</v>
      </c>
      <c r="DH21" s="215">
        <v>11.25</v>
      </c>
      <c r="DI21" s="215">
        <v>11.14</v>
      </c>
      <c r="DJ21" s="215">
        <v>10.89</v>
      </c>
      <c r="DK21" s="215">
        <v>11.37</v>
      </c>
      <c r="DL21" s="215">
        <v>12.49</v>
      </c>
      <c r="DM21" s="215">
        <v>12.5</v>
      </c>
      <c r="DN21" s="215">
        <v>12.85</v>
      </c>
      <c r="DO21" s="215">
        <v>13.63</v>
      </c>
      <c r="DP21" s="215">
        <v>13.63</v>
      </c>
      <c r="DQ21" s="215">
        <v>13.58</v>
      </c>
      <c r="DR21" s="215">
        <v>14.49</v>
      </c>
      <c r="DS21" s="215">
        <v>13.71</v>
      </c>
      <c r="DT21" s="215">
        <v>12.07</v>
      </c>
      <c r="DU21" s="215">
        <v>11.83</v>
      </c>
      <c r="DV21" s="215">
        <v>11.47</v>
      </c>
      <c r="DW21" s="215">
        <v>12.4</v>
      </c>
      <c r="DX21" s="215">
        <v>12.31</v>
      </c>
      <c r="DY21" s="215">
        <v>12.34</v>
      </c>
      <c r="DZ21" s="215">
        <v>12.93</v>
      </c>
      <c r="EA21" s="215">
        <v>13.09</v>
      </c>
      <c r="EB21" s="215">
        <v>13.95</v>
      </c>
      <c r="EC21" s="215">
        <v>13.31</v>
      </c>
      <c r="ED21" s="215">
        <v>12.97</v>
      </c>
      <c r="EE21" s="215">
        <v>12.88</v>
      </c>
      <c r="EF21" s="215">
        <v>12.92</v>
      </c>
      <c r="EG21" s="215">
        <v>14.24</v>
      </c>
    </row>
    <row r="22" spans="1:137" x14ac:dyDescent="0.3">
      <c r="A22" s="210" t="s">
        <v>988</v>
      </c>
      <c r="B22" s="214" t="s">
        <v>989</v>
      </c>
      <c r="C22" s="215">
        <v>13.64</v>
      </c>
      <c r="D22" s="215">
        <v>13.51</v>
      </c>
      <c r="E22" s="215">
        <v>13.58</v>
      </c>
      <c r="F22" s="215">
        <v>13.35</v>
      </c>
      <c r="G22" s="215">
        <v>12.44</v>
      </c>
      <c r="H22" s="215">
        <v>11.81</v>
      </c>
      <c r="I22" s="215">
        <v>12.02</v>
      </c>
      <c r="J22" s="215">
        <v>11.56</v>
      </c>
      <c r="K22" s="215">
        <v>11.7</v>
      </c>
      <c r="L22" s="215">
        <v>12.13</v>
      </c>
      <c r="M22" s="215">
        <v>12.29</v>
      </c>
      <c r="N22" s="215">
        <v>11.89</v>
      </c>
      <c r="O22" s="215">
        <v>11.95</v>
      </c>
      <c r="P22" s="215">
        <v>11.64</v>
      </c>
      <c r="Q22" s="215">
        <v>12.23</v>
      </c>
      <c r="R22" s="215">
        <v>12.18</v>
      </c>
      <c r="S22" s="215">
        <v>13.04</v>
      </c>
      <c r="T22" s="215">
        <v>13.57</v>
      </c>
      <c r="U22" s="215">
        <v>13.41</v>
      </c>
      <c r="V22" s="215">
        <v>14.71</v>
      </c>
      <c r="W22" s="215">
        <v>14.93</v>
      </c>
      <c r="X22" s="215">
        <v>14.93</v>
      </c>
      <c r="Y22" s="215">
        <v>14.45</v>
      </c>
      <c r="Z22" s="215">
        <v>14.52</v>
      </c>
      <c r="AA22" s="215">
        <v>14.67</v>
      </c>
      <c r="AB22" s="215">
        <v>15.45</v>
      </c>
      <c r="AC22" s="215">
        <v>15.47</v>
      </c>
      <c r="AD22" s="215">
        <v>15.68</v>
      </c>
      <c r="AE22" s="215">
        <v>15</v>
      </c>
      <c r="AF22" s="215">
        <v>14.71</v>
      </c>
      <c r="AG22" s="215">
        <v>14.73</v>
      </c>
      <c r="AH22" s="215">
        <v>13.26</v>
      </c>
      <c r="AI22" s="215">
        <v>13.01</v>
      </c>
      <c r="AJ22" s="215">
        <v>13.25</v>
      </c>
      <c r="AK22" s="215">
        <v>13.48</v>
      </c>
      <c r="AL22" s="215">
        <v>12.55</v>
      </c>
      <c r="AM22" s="215">
        <v>12.66</v>
      </c>
      <c r="AN22" s="215">
        <v>12.72</v>
      </c>
      <c r="AO22" s="215">
        <v>13.11</v>
      </c>
      <c r="AP22" s="215">
        <v>13.15</v>
      </c>
      <c r="AQ22" s="215">
        <v>14.98</v>
      </c>
      <c r="AR22" s="215">
        <v>15.63</v>
      </c>
      <c r="AS22" s="215">
        <v>15.82</v>
      </c>
      <c r="AT22" s="215">
        <v>16.16</v>
      </c>
      <c r="AU22" s="215">
        <v>16</v>
      </c>
      <c r="AV22" s="215">
        <v>15.74</v>
      </c>
      <c r="AW22" s="215">
        <v>15.54</v>
      </c>
      <c r="AX22" s="215">
        <v>15.06</v>
      </c>
      <c r="AY22" s="215">
        <v>15.66</v>
      </c>
      <c r="AZ22" s="215">
        <v>15.37</v>
      </c>
      <c r="BA22" s="215">
        <v>15.74</v>
      </c>
      <c r="BB22" s="215">
        <v>15.88</v>
      </c>
      <c r="BC22" s="215">
        <v>14.96</v>
      </c>
      <c r="BD22" s="215">
        <v>15.34</v>
      </c>
      <c r="BE22" s="215">
        <v>15.21</v>
      </c>
      <c r="BF22" s="215">
        <v>15.39</v>
      </c>
      <c r="BG22" s="215">
        <v>15.75</v>
      </c>
      <c r="BH22" s="215">
        <v>15.56</v>
      </c>
      <c r="BI22" s="215">
        <v>14.41</v>
      </c>
      <c r="BJ22" s="215">
        <v>14.65</v>
      </c>
      <c r="BK22" s="215">
        <v>15.16</v>
      </c>
      <c r="BL22" s="215">
        <v>15.03</v>
      </c>
      <c r="BM22" s="215">
        <v>13.39</v>
      </c>
      <c r="BN22" s="215">
        <v>14.06</v>
      </c>
      <c r="BO22" s="215">
        <v>13.03</v>
      </c>
      <c r="BP22" s="215">
        <v>12.52</v>
      </c>
      <c r="BQ22" s="215">
        <v>12.93</v>
      </c>
      <c r="BR22" s="215">
        <v>11.23</v>
      </c>
      <c r="BS22" s="215">
        <v>10.95</v>
      </c>
      <c r="BT22" s="215">
        <v>11.32</v>
      </c>
      <c r="BU22" s="215">
        <v>12.14</v>
      </c>
      <c r="BV22" s="215">
        <v>12.14</v>
      </c>
      <c r="BW22" s="215">
        <v>11.94</v>
      </c>
      <c r="BX22" s="215">
        <v>11.83</v>
      </c>
      <c r="BY22" s="215">
        <v>12.76</v>
      </c>
      <c r="BZ22" s="215">
        <v>13.04</v>
      </c>
      <c r="CA22" s="215">
        <v>12.48</v>
      </c>
      <c r="CB22" s="215">
        <v>12.31</v>
      </c>
      <c r="CC22" s="215">
        <v>12.21</v>
      </c>
      <c r="CD22" s="215">
        <v>12.77</v>
      </c>
      <c r="CE22" s="215">
        <v>12.42</v>
      </c>
      <c r="CF22" s="215">
        <v>12.49</v>
      </c>
      <c r="CG22" s="215">
        <v>11.66</v>
      </c>
      <c r="CH22" s="215">
        <v>12.37</v>
      </c>
      <c r="CI22" s="215">
        <v>12.71</v>
      </c>
      <c r="CJ22" s="215">
        <v>12.19</v>
      </c>
      <c r="CK22" s="215">
        <v>13.45</v>
      </c>
      <c r="CL22" s="215">
        <v>13.09</v>
      </c>
      <c r="CM22" s="215">
        <v>13.07</v>
      </c>
      <c r="CN22" s="215">
        <v>12.36</v>
      </c>
      <c r="CO22" s="215">
        <v>13.17</v>
      </c>
      <c r="CP22" s="215">
        <v>12.52</v>
      </c>
      <c r="CQ22" s="215">
        <v>11.78</v>
      </c>
      <c r="CR22" s="215">
        <v>11.83</v>
      </c>
      <c r="CS22" s="215">
        <v>12.62</v>
      </c>
      <c r="CT22" s="215">
        <v>12.06</v>
      </c>
      <c r="CU22" s="215">
        <v>12.34</v>
      </c>
      <c r="CV22" s="215">
        <v>13.26</v>
      </c>
      <c r="CW22" s="215">
        <v>13.32</v>
      </c>
      <c r="CX22" s="215">
        <v>13.55</v>
      </c>
      <c r="CY22" s="215">
        <v>11.84</v>
      </c>
      <c r="CZ22" s="215">
        <v>11.94</v>
      </c>
      <c r="DA22" s="215">
        <v>12.1</v>
      </c>
      <c r="DB22" s="215">
        <v>11.62</v>
      </c>
      <c r="DC22" s="215">
        <v>11.42</v>
      </c>
      <c r="DD22" s="215">
        <v>11.61</v>
      </c>
      <c r="DE22" s="215">
        <v>11.75</v>
      </c>
      <c r="DF22" s="215">
        <v>11.92</v>
      </c>
      <c r="DG22" s="215">
        <v>11.63</v>
      </c>
      <c r="DH22" s="215">
        <v>11.25</v>
      </c>
      <c r="DI22" s="215">
        <v>11.36</v>
      </c>
      <c r="DJ22" s="215">
        <v>11.34</v>
      </c>
      <c r="DK22" s="215">
        <v>12.69</v>
      </c>
      <c r="DL22" s="215">
        <v>12.6</v>
      </c>
      <c r="DM22" s="215">
        <v>12.98</v>
      </c>
      <c r="DN22" s="215">
        <v>13.71</v>
      </c>
      <c r="DO22" s="215">
        <v>13.85</v>
      </c>
      <c r="DP22" s="215">
        <v>13.82</v>
      </c>
      <c r="DQ22" s="215">
        <v>15.32</v>
      </c>
      <c r="DR22" s="215">
        <v>14.75</v>
      </c>
      <c r="DS22" s="215">
        <v>14.29</v>
      </c>
      <c r="DT22" s="215">
        <v>12.16</v>
      </c>
      <c r="DU22" s="215">
        <v>12.14</v>
      </c>
      <c r="DV22" s="215">
        <v>12.4</v>
      </c>
      <c r="DW22" s="215">
        <v>12.73</v>
      </c>
      <c r="DX22" s="215">
        <v>12.48</v>
      </c>
      <c r="DY22" s="215">
        <v>13</v>
      </c>
      <c r="DZ22" s="215">
        <v>13.37</v>
      </c>
      <c r="EA22" s="215">
        <v>14.02</v>
      </c>
      <c r="EB22" s="215">
        <v>14.19</v>
      </c>
      <c r="EC22" s="215">
        <v>13.65</v>
      </c>
      <c r="ED22" s="215">
        <v>13.1</v>
      </c>
      <c r="EE22" s="215">
        <v>12.99</v>
      </c>
      <c r="EF22" s="215">
        <v>14.32</v>
      </c>
      <c r="EG22" s="215">
        <v>14.24</v>
      </c>
    </row>
    <row r="23" spans="1:137" x14ac:dyDescent="0.3">
      <c r="A23" s="210" t="s">
        <v>992</v>
      </c>
      <c r="B23" s="214" t="s">
        <v>205</v>
      </c>
      <c r="C23" s="215">
        <v>11.84</v>
      </c>
      <c r="D23" s="215">
        <v>11.6</v>
      </c>
      <c r="E23" s="215">
        <v>11.43</v>
      </c>
      <c r="F23" s="215">
        <v>11.63</v>
      </c>
      <c r="G23" s="215">
        <v>11.37</v>
      </c>
      <c r="H23" s="215">
        <v>11.15</v>
      </c>
      <c r="I23" s="215">
        <v>11.08</v>
      </c>
      <c r="J23" s="215">
        <v>10.94</v>
      </c>
      <c r="K23" s="215">
        <v>10.32</v>
      </c>
      <c r="L23" s="215">
        <v>10.84</v>
      </c>
      <c r="M23" s="215">
        <v>10.68</v>
      </c>
      <c r="N23" s="215">
        <v>10.24</v>
      </c>
      <c r="O23" s="215">
        <v>10.050000000000001</v>
      </c>
      <c r="P23" s="215">
        <v>10.68</v>
      </c>
      <c r="Q23" s="215">
        <v>11.25</v>
      </c>
      <c r="R23" s="215">
        <v>11.39</v>
      </c>
      <c r="S23" s="215">
        <v>11.8</v>
      </c>
      <c r="T23" s="215">
        <v>12.17</v>
      </c>
      <c r="U23" s="215">
        <v>12.38</v>
      </c>
      <c r="V23" s="215">
        <v>12.11</v>
      </c>
      <c r="W23" s="215">
        <v>12.19</v>
      </c>
      <c r="X23" s="215">
        <v>12.02</v>
      </c>
      <c r="Y23" s="215">
        <v>13.77</v>
      </c>
      <c r="Z23" s="215">
        <v>14.12</v>
      </c>
      <c r="AA23" s="215">
        <v>14.63</v>
      </c>
      <c r="AB23" s="215">
        <v>14.85</v>
      </c>
      <c r="AC23" s="215">
        <v>12.31</v>
      </c>
      <c r="AD23" s="215">
        <v>12.86</v>
      </c>
      <c r="AE23" s="215">
        <v>12.57</v>
      </c>
      <c r="AF23" s="215">
        <v>12.88</v>
      </c>
      <c r="AG23" s="215">
        <v>12.63</v>
      </c>
      <c r="AH23" s="215">
        <v>12.35</v>
      </c>
      <c r="AI23" s="215">
        <v>12.17</v>
      </c>
      <c r="AJ23" s="215">
        <v>12.17</v>
      </c>
      <c r="AK23" s="215">
        <v>12.49</v>
      </c>
      <c r="AL23" s="215">
        <v>12.1</v>
      </c>
      <c r="AM23" s="215">
        <v>11.79</v>
      </c>
      <c r="AN23" s="215">
        <v>12.17</v>
      </c>
      <c r="AO23" s="215">
        <v>12.73</v>
      </c>
      <c r="AP23" s="215">
        <v>12.72</v>
      </c>
      <c r="AQ23" s="215">
        <v>13.37</v>
      </c>
      <c r="AR23" s="215">
        <v>14.2</v>
      </c>
      <c r="AS23" s="215">
        <v>14.89</v>
      </c>
      <c r="AT23" s="215">
        <v>13.83</v>
      </c>
      <c r="AU23" s="215">
        <v>13.92</v>
      </c>
      <c r="AV23" s="215">
        <v>15.05</v>
      </c>
      <c r="AW23" s="215">
        <v>15.21</v>
      </c>
      <c r="AX23" s="215">
        <v>15.2</v>
      </c>
      <c r="AY23" s="215">
        <v>14.93</v>
      </c>
      <c r="AZ23" s="215">
        <v>15</v>
      </c>
      <c r="BA23" s="215">
        <v>14.45</v>
      </c>
      <c r="BB23" s="215">
        <v>14.75</v>
      </c>
      <c r="BC23" s="215">
        <v>14.44</v>
      </c>
      <c r="BD23" s="215">
        <v>14.74</v>
      </c>
      <c r="BE23" s="215">
        <v>14.76</v>
      </c>
      <c r="BF23" s="215">
        <v>15.13</v>
      </c>
      <c r="BG23" s="215">
        <v>15.43</v>
      </c>
      <c r="BH23" s="215">
        <v>15.17</v>
      </c>
      <c r="BI23" s="215">
        <v>14.14</v>
      </c>
      <c r="BJ23" s="215">
        <v>13.63</v>
      </c>
      <c r="BK23" s="215">
        <v>15.44</v>
      </c>
      <c r="BL23" s="215">
        <v>18.64</v>
      </c>
      <c r="BM23" s="215">
        <v>12.99</v>
      </c>
      <c r="BN23" s="215">
        <v>14.24</v>
      </c>
      <c r="BO23" s="215">
        <v>11.8</v>
      </c>
      <c r="BP23" s="215">
        <v>14.02</v>
      </c>
      <c r="BQ23" s="215">
        <v>13.79</v>
      </c>
      <c r="BR23" s="215">
        <v>10.8</v>
      </c>
      <c r="BS23" s="215">
        <v>9.92</v>
      </c>
      <c r="BT23" s="215">
        <v>10.06</v>
      </c>
      <c r="BU23" s="215">
        <v>12.12</v>
      </c>
      <c r="BV23" s="215">
        <v>10.16</v>
      </c>
      <c r="BW23" s="215">
        <v>11.28</v>
      </c>
      <c r="BX23" s="215">
        <v>12.29</v>
      </c>
      <c r="BY23" s="215">
        <v>12.79</v>
      </c>
      <c r="BZ23" s="215">
        <v>13.38</v>
      </c>
      <c r="CA23" s="215">
        <v>10.93</v>
      </c>
      <c r="CB23" s="215">
        <v>10.99</v>
      </c>
      <c r="CC23" s="215">
        <v>13.02</v>
      </c>
      <c r="CD23" s="215">
        <v>13.46</v>
      </c>
      <c r="CE23" s="215">
        <v>13.84</v>
      </c>
      <c r="CF23" s="215">
        <v>13.79</v>
      </c>
      <c r="CG23" s="215">
        <v>13.52</v>
      </c>
      <c r="CH23" s="215">
        <v>13.72</v>
      </c>
      <c r="CI23" s="215">
        <v>14.18</v>
      </c>
      <c r="CJ23" s="215">
        <v>14.04</v>
      </c>
      <c r="CK23" s="215">
        <v>14.61</v>
      </c>
      <c r="CL23" s="215">
        <v>15.53</v>
      </c>
      <c r="CM23" s="215">
        <v>15.3</v>
      </c>
      <c r="CN23" s="215">
        <v>14.55</v>
      </c>
      <c r="CO23" s="215">
        <v>14.22</v>
      </c>
      <c r="CP23" s="215">
        <v>14.42</v>
      </c>
      <c r="CQ23" s="215">
        <v>14.38</v>
      </c>
      <c r="CR23" s="215">
        <v>13.33</v>
      </c>
      <c r="CS23" s="215">
        <v>13.51</v>
      </c>
      <c r="CT23" s="215">
        <v>13.75</v>
      </c>
      <c r="CU23" s="215">
        <v>14.45</v>
      </c>
      <c r="CV23" s="215">
        <v>14.9</v>
      </c>
      <c r="CW23" s="215">
        <v>14.27</v>
      </c>
      <c r="CX23" s="215">
        <v>15.01</v>
      </c>
      <c r="CY23" s="215">
        <v>14.48</v>
      </c>
      <c r="CZ23" s="215">
        <v>14.05</v>
      </c>
      <c r="DA23" s="215">
        <v>13.87</v>
      </c>
      <c r="DB23" s="215">
        <v>13.59</v>
      </c>
      <c r="DC23" s="215">
        <v>13.53</v>
      </c>
      <c r="DD23" s="215">
        <v>13.23</v>
      </c>
      <c r="DE23" s="215">
        <v>13.72</v>
      </c>
      <c r="DF23" s="215">
        <v>13.93</v>
      </c>
      <c r="DG23" s="215">
        <v>14.55</v>
      </c>
      <c r="DH23" s="215">
        <v>14.83</v>
      </c>
      <c r="DI23" s="215">
        <v>13.79</v>
      </c>
      <c r="DJ23" s="215">
        <v>13.78</v>
      </c>
      <c r="DK23" s="215">
        <v>14.28</v>
      </c>
      <c r="DL23" s="215">
        <v>14.36</v>
      </c>
      <c r="DM23" s="215">
        <v>14.36</v>
      </c>
      <c r="DN23" s="215">
        <v>14.9</v>
      </c>
      <c r="DO23" s="215">
        <v>14.6</v>
      </c>
      <c r="DP23" s="215">
        <v>14.35</v>
      </c>
      <c r="DQ23" s="215">
        <v>15.17</v>
      </c>
      <c r="DR23" s="215">
        <v>14.93</v>
      </c>
      <c r="DS23" s="215">
        <v>14.92</v>
      </c>
      <c r="DT23" s="215">
        <v>15.61</v>
      </c>
      <c r="DU23" s="215">
        <v>13.98</v>
      </c>
      <c r="DV23" s="215">
        <v>14.19</v>
      </c>
      <c r="DW23" s="215">
        <v>15.17</v>
      </c>
      <c r="DX23" s="215">
        <v>15.14</v>
      </c>
      <c r="DY23" s="215">
        <v>13.4</v>
      </c>
      <c r="DZ23" s="215">
        <v>15.77</v>
      </c>
      <c r="EA23" s="215">
        <v>16.53</v>
      </c>
      <c r="EB23" s="215">
        <v>16.079999999999998</v>
      </c>
      <c r="EC23" s="215">
        <v>16.02</v>
      </c>
      <c r="ED23" s="215">
        <v>15.86</v>
      </c>
      <c r="EE23" s="215">
        <v>15.82</v>
      </c>
      <c r="EF23" s="215">
        <v>16.3</v>
      </c>
      <c r="EG23" s="215">
        <v>17.29</v>
      </c>
    </row>
    <row r="24" spans="1:137" x14ac:dyDescent="0.3">
      <c r="A24" s="210" t="s">
        <v>190</v>
      </c>
      <c r="B24" s="214" t="s">
        <v>985</v>
      </c>
      <c r="C24" s="215">
        <v>12.06</v>
      </c>
      <c r="D24" s="215">
        <v>11.92</v>
      </c>
      <c r="E24" s="215">
        <v>11.82</v>
      </c>
      <c r="F24" s="215">
        <v>11.75</v>
      </c>
      <c r="G24" s="215">
        <v>11.63</v>
      </c>
      <c r="H24" s="215">
        <v>11.43</v>
      </c>
      <c r="I24" s="215">
        <v>11.28</v>
      </c>
      <c r="J24" s="215">
        <v>11.26</v>
      </c>
      <c r="K24" s="215">
        <v>10.61</v>
      </c>
      <c r="L24" s="215">
        <v>11</v>
      </c>
      <c r="M24" s="215">
        <v>11.18</v>
      </c>
      <c r="N24" s="215">
        <v>10.57</v>
      </c>
      <c r="O24" s="215">
        <v>10.41</v>
      </c>
      <c r="P24" s="215">
        <v>11.24</v>
      </c>
      <c r="Q24" s="215">
        <v>11.45</v>
      </c>
      <c r="R24" s="215">
        <v>11.57</v>
      </c>
      <c r="S24" s="215">
        <v>12.04</v>
      </c>
      <c r="T24" s="215">
        <v>12.41</v>
      </c>
      <c r="U24" s="215">
        <v>12.47</v>
      </c>
      <c r="V24" s="215">
        <v>12.32</v>
      </c>
      <c r="W24" s="215">
        <v>12.46</v>
      </c>
      <c r="X24" s="215">
        <v>12.2</v>
      </c>
      <c r="Y24" s="215">
        <v>14.38</v>
      </c>
      <c r="Z24" s="215">
        <v>14.36</v>
      </c>
      <c r="AA24" s="215">
        <v>14.88</v>
      </c>
      <c r="AB24" s="215">
        <v>15.33</v>
      </c>
      <c r="AC24" s="215">
        <v>12.48</v>
      </c>
      <c r="AD24" s="215">
        <v>13.16</v>
      </c>
      <c r="AE24" s="215">
        <v>12.94</v>
      </c>
      <c r="AF24" s="215">
        <v>13.11</v>
      </c>
      <c r="AG24" s="215">
        <v>12.94</v>
      </c>
      <c r="AH24" s="215">
        <v>12.51</v>
      </c>
      <c r="AI24" s="215">
        <v>12.32</v>
      </c>
      <c r="AJ24" s="215">
        <v>12.52</v>
      </c>
      <c r="AK24" s="215">
        <v>12.64</v>
      </c>
      <c r="AL24" s="215">
        <v>12.53</v>
      </c>
      <c r="AM24" s="215">
        <v>11.89</v>
      </c>
      <c r="AN24" s="215">
        <v>12.4</v>
      </c>
      <c r="AO24" s="215">
        <v>13.03</v>
      </c>
      <c r="AP24" s="215">
        <v>12.86</v>
      </c>
      <c r="AQ24" s="215">
        <v>14.4</v>
      </c>
      <c r="AR24" s="215">
        <v>14.93</v>
      </c>
      <c r="AS24" s="215">
        <v>15.6</v>
      </c>
      <c r="AT24" s="215">
        <v>14.71</v>
      </c>
      <c r="AU24" s="215">
        <v>14.09</v>
      </c>
      <c r="AV24" s="215">
        <v>15.82</v>
      </c>
      <c r="AW24" s="215">
        <v>15.58</v>
      </c>
      <c r="AX24" s="215">
        <v>15.53</v>
      </c>
      <c r="AY24" s="215">
        <v>15.2</v>
      </c>
      <c r="AZ24" s="215">
        <v>15.3</v>
      </c>
      <c r="BA24" s="215">
        <v>14.71</v>
      </c>
      <c r="BB24" s="215">
        <v>14.96</v>
      </c>
      <c r="BC24" s="215">
        <v>14.74</v>
      </c>
      <c r="BD24" s="215">
        <v>15.04</v>
      </c>
      <c r="BE24" s="215">
        <v>14.93</v>
      </c>
      <c r="BF24" s="215">
        <v>15.41</v>
      </c>
      <c r="BG24" s="215">
        <v>15.56</v>
      </c>
      <c r="BH24" s="215">
        <v>15.33</v>
      </c>
      <c r="BI24" s="215">
        <v>14.98</v>
      </c>
      <c r="BJ24" s="215">
        <v>13.77</v>
      </c>
      <c r="BK24" s="215">
        <v>16.010000000000002</v>
      </c>
      <c r="BL24" s="215">
        <v>19.93</v>
      </c>
      <c r="BM24" s="215">
        <v>15.32</v>
      </c>
      <c r="BN24" s="215">
        <v>15.08</v>
      </c>
      <c r="BO24" s="215">
        <v>14.34</v>
      </c>
      <c r="BP24" s="215">
        <v>14.55</v>
      </c>
      <c r="BQ24" s="215">
        <v>14.08</v>
      </c>
      <c r="BR24" s="215">
        <v>13.75</v>
      </c>
      <c r="BS24" s="215">
        <v>10.18</v>
      </c>
      <c r="BT24" s="215">
        <v>10.29</v>
      </c>
      <c r="BU24" s="215">
        <v>12.74</v>
      </c>
      <c r="BV24" s="215">
        <v>12.47</v>
      </c>
      <c r="BW24" s="215">
        <v>12.31</v>
      </c>
      <c r="BX24" s="215">
        <v>13.12</v>
      </c>
      <c r="BY24" s="215">
        <v>13.14</v>
      </c>
      <c r="BZ24" s="215">
        <v>13.73</v>
      </c>
      <c r="CA24" s="215">
        <v>13.59</v>
      </c>
      <c r="CB24" s="215">
        <v>13.07</v>
      </c>
      <c r="CC24" s="215">
        <v>13.2</v>
      </c>
      <c r="CD24" s="215">
        <v>13.72</v>
      </c>
      <c r="CE24" s="215">
        <v>14.22</v>
      </c>
      <c r="CF24" s="215">
        <v>14.06</v>
      </c>
      <c r="CG24" s="215">
        <v>13.93</v>
      </c>
      <c r="CH24" s="215">
        <v>14.02</v>
      </c>
      <c r="CI24" s="215">
        <v>14.41</v>
      </c>
      <c r="CJ24" s="215">
        <v>14.22</v>
      </c>
      <c r="CK24" s="215">
        <v>15.49</v>
      </c>
      <c r="CL24" s="215">
        <v>15.79</v>
      </c>
      <c r="CM24" s="215">
        <v>15.59</v>
      </c>
      <c r="CN24" s="215">
        <v>15.29</v>
      </c>
      <c r="CO24" s="215">
        <v>14.78</v>
      </c>
      <c r="CP24" s="215">
        <v>14.75</v>
      </c>
      <c r="CQ24" s="215">
        <v>14.93</v>
      </c>
      <c r="CR24" s="215">
        <v>13.9</v>
      </c>
      <c r="CS24" s="215">
        <v>14.01</v>
      </c>
      <c r="CT24" s="215">
        <v>14.07</v>
      </c>
      <c r="CU24" s="215">
        <v>15.22</v>
      </c>
      <c r="CV24" s="215">
        <v>15.18</v>
      </c>
      <c r="CW24" s="215">
        <v>14.83</v>
      </c>
      <c r="CX24" s="215">
        <v>15.23</v>
      </c>
      <c r="CY24" s="215">
        <v>15.03</v>
      </c>
      <c r="CZ24" s="215">
        <v>14.33</v>
      </c>
      <c r="DA24" s="215">
        <v>14</v>
      </c>
      <c r="DB24" s="215">
        <v>14.36</v>
      </c>
      <c r="DC24" s="215">
        <v>13.79</v>
      </c>
      <c r="DD24" s="215">
        <v>13.5</v>
      </c>
      <c r="DE24" s="215">
        <v>13.93</v>
      </c>
      <c r="DF24" s="215">
        <v>14.14</v>
      </c>
      <c r="DG24" s="215">
        <v>15.14</v>
      </c>
      <c r="DH24" s="215">
        <v>15.19</v>
      </c>
      <c r="DI24" s="215">
        <v>13.98</v>
      </c>
      <c r="DJ24" s="215">
        <v>13.97</v>
      </c>
      <c r="DK24" s="215">
        <v>14.52</v>
      </c>
      <c r="DL24" s="215">
        <v>14.5</v>
      </c>
      <c r="DM24" s="215">
        <v>14.56</v>
      </c>
      <c r="DN24" s="215">
        <v>15.18</v>
      </c>
      <c r="DO24" s="215">
        <v>15.3</v>
      </c>
      <c r="DP24" s="215">
        <v>14.56</v>
      </c>
      <c r="DQ24" s="215">
        <v>15.55</v>
      </c>
      <c r="DR24" s="215">
        <v>15.29</v>
      </c>
      <c r="DS24" s="215">
        <v>15.94</v>
      </c>
      <c r="DT24" s="215">
        <v>16.36</v>
      </c>
      <c r="DU24" s="215">
        <v>14.16</v>
      </c>
      <c r="DV24" s="215">
        <v>14.87</v>
      </c>
      <c r="DW24" s="215">
        <v>15.55</v>
      </c>
      <c r="DX24" s="215">
        <v>15.45</v>
      </c>
      <c r="DY24" s="215">
        <v>15.06</v>
      </c>
      <c r="DZ24" s="215">
        <v>16.47</v>
      </c>
      <c r="EA24" s="215">
        <v>16.989999999999998</v>
      </c>
      <c r="EB24" s="215">
        <v>17.260000000000002</v>
      </c>
      <c r="EC24" s="215">
        <v>16.71</v>
      </c>
      <c r="ED24" s="215">
        <v>16.13</v>
      </c>
      <c r="EE24" s="215">
        <v>16.260000000000002</v>
      </c>
      <c r="EF24" s="215">
        <v>17.84</v>
      </c>
      <c r="EG24" s="215">
        <v>17.32</v>
      </c>
    </row>
    <row r="25" spans="1:137" x14ac:dyDescent="0.3">
      <c r="A25" s="210" t="s">
        <v>986</v>
      </c>
      <c r="B25" s="214" t="s">
        <v>987</v>
      </c>
      <c r="C25" s="215">
        <v>11.59</v>
      </c>
      <c r="D25" s="215">
        <v>11.12</v>
      </c>
      <c r="E25" s="215">
        <v>11.13</v>
      </c>
      <c r="F25" s="215">
        <v>11.52</v>
      </c>
      <c r="G25" s="215">
        <v>11.19</v>
      </c>
      <c r="H25" s="215">
        <v>10.89</v>
      </c>
      <c r="I25" s="215">
        <v>10.93</v>
      </c>
      <c r="J25" s="215">
        <v>10.48</v>
      </c>
      <c r="K25" s="215">
        <v>10.15</v>
      </c>
      <c r="L25" s="215">
        <v>10.58</v>
      </c>
      <c r="M25" s="215">
        <v>10.48</v>
      </c>
      <c r="N25" s="215">
        <v>9.99</v>
      </c>
      <c r="O25" s="215">
        <v>9.7100000000000009</v>
      </c>
      <c r="P25" s="215">
        <v>10.43</v>
      </c>
      <c r="Q25" s="215">
        <v>10.98</v>
      </c>
      <c r="R25" s="215">
        <v>11.19</v>
      </c>
      <c r="S25" s="215">
        <v>11.38</v>
      </c>
      <c r="T25" s="215">
        <v>12</v>
      </c>
      <c r="U25" s="215">
        <v>12.26</v>
      </c>
      <c r="V25" s="215">
        <v>11.71</v>
      </c>
      <c r="W25" s="215">
        <v>11.89</v>
      </c>
      <c r="X25" s="215">
        <v>11.89</v>
      </c>
      <c r="Y25" s="215">
        <v>11.07</v>
      </c>
      <c r="Z25" s="215">
        <v>13.92</v>
      </c>
      <c r="AA25" s="215">
        <v>14.13</v>
      </c>
      <c r="AB25" s="215">
        <v>12.52</v>
      </c>
      <c r="AC25" s="215">
        <v>12.14</v>
      </c>
      <c r="AD25" s="215">
        <v>12.2</v>
      </c>
      <c r="AE25" s="215">
        <v>12.3</v>
      </c>
      <c r="AF25" s="215">
        <v>12.73</v>
      </c>
      <c r="AG25" s="215">
        <v>12.25</v>
      </c>
      <c r="AH25" s="215">
        <v>12.2</v>
      </c>
      <c r="AI25" s="215">
        <v>11.98</v>
      </c>
      <c r="AJ25" s="215">
        <v>11.87</v>
      </c>
      <c r="AK25" s="215">
        <v>12.3</v>
      </c>
      <c r="AL25" s="215">
        <v>11.69</v>
      </c>
      <c r="AM25" s="215">
        <v>11.6</v>
      </c>
      <c r="AN25" s="215">
        <v>11.97</v>
      </c>
      <c r="AO25" s="215">
        <v>12</v>
      </c>
      <c r="AP25" s="215">
        <v>12.57</v>
      </c>
      <c r="AQ25" s="215">
        <v>12.69</v>
      </c>
      <c r="AR25" s="215">
        <v>13.37</v>
      </c>
      <c r="AS25" s="215">
        <v>14.5</v>
      </c>
      <c r="AT25" s="215">
        <v>13.52</v>
      </c>
      <c r="AU25" s="215">
        <v>13.61</v>
      </c>
      <c r="AV25" s="215">
        <v>13.78</v>
      </c>
      <c r="AW25" s="215">
        <v>14.46</v>
      </c>
      <c r="AX25" s="215">
        <v>14.77</v>
      </c>
      <c r="AY25" s="215">
        <v>14.74</v>
      </c>
      <c r="AZ25" s="215">
        <v>13.95</v>
      </c>
      <c r="BA25" s="215">
        <v>14.22</v>
      </c>
      <c r="BB25" s="215">
        <v>14.54</v>
      </c>
      <c r="BC25" s="215">
        <v>13.85</v>
      </c>
      <c r="BD25" s="215">
        <v>14.47</v>
      </c>
      <c r="BE25" s="215">
        <v>14.55</v>
      </c>
      <c r="BF25" s="215">
        <v>14.48</v>
      </c>
      <c r="BG25" s="215">
        <v>15.28</v>
      </c>
      <c r="BH25" s="215">
        <v>14.86</v>
      </c>
      <c r="BI25" s="215">
        <v>13.47</v>
      </c>
      <c r="BJ25" s="215">
        <v>13.45</v>
      </c>
      <c r="BK25" s="215">
        <v>13.55</v>
      </c>
      <c r="BL25" s="215">
        <v>14.83</v>
      </c>
      <c r="BM25" s="215">
        <v>11.01</v>
      </c>
      <c r="BN25" s="215">
        <v>12.31</v>
      </c>
      <c r="BO25" s="215">
        <v>10.73</v>
      </c>
      <c r="BP25" s="215">
        <v>13.39</v>
      </c>
      <c r="BQ25" s="215">
        <v>13.57</v>
      </c>
      <c r="BR25" s="215">
        <v>10.08</v>
      </c>
      <c r="BS25" s="215">
        <v>9.7100000000000009</v>
      </c>
      <c r="BT25" s="215">
        <v>9.89</v>
      </c>
      <c r="BU25" s="215">
        <v>10.01</v>
      </c>
      <c r="BV25" s="215">
        <v>9.83</v>
      </c>
      <c r="BW25" s="215">
        <v>9.5</v>
      </c>
      <c r="BX25" s="215">
        <v>12.08</v>
      </c>
      <c r="BY25" s="215">
        <v>12.12</v>
      </c>
      <c r="BZ25" s="215">
        <v>13.08</v>
      </c>
      <c r="CA25" s="215">
        <v>10.42</v>
      </c>
      <c r="CB25" s="215">
        <v>10.43</v>
      </c>
      <c r="CC25" s="215">
        <v>12.79</v>
      </c>
      <c r="CD25" s="215">
        <v>11.99</v>
      </c>
      <c r="CE25" s="215">
        <v>13.35</v>
      </c>
      <c r="CF25" s="215">
        <v>13.47</v>
      </c>
      <c r="CG25" s="215">
        <v>13.22</v>
      </c>
      <c r="CH25" s="215">
        <v>13.21</v>
      </c>
      <c r="CI25" s="215">
        <v>13.79</v>
      </c>
      <c r="CJ25" s="215">
        <v>13.76</v>
      </c>
      <c r="CK25" s="215">
        <v>13.81</v>
      </c>
      <c r="CL25" s="215">
        <v>15.26</v>
      </c>
      <c r="CM25" s="215">
        <v>15.08</v>
      </c>
      <c r="CN25" s="215">
        <v>13.81</v>
      </c>
      <c r="CO25" s="215">
        <v>13.75</v>
      </c>
      <c r="CP25" s="215">
        <v>13.9</v>
      </c>
      <c r="CQ25" s="215">
        <v>13.47</v>
      </c>
      <c r="CR25" s="215">
        <v>12.93</v>
      </c>
      <c r="CS25" s="215">
        <v>13.12</v>
      </c>
      <c r="CT25" s="215">
        <v>13.49</v>
      </c>
      <c r="CU25" s="215">
        <v>13.54</v>
      </c>
      <c r="CV25" s="215">
        <v>14.47</v>
      </c>
      <c r="CW25" s="215">
        <v>13.93</v>
      </c>
      <c r="CX25" s="215">
        <v>14.74</v>
      </c>
      <c r="CY25" s="215">
        <v>14.13</v>
      </c>
      <c r="CZ25" s="215">
        <v>13.76</v>
      </c>
      <c r="DA25" s="215">
        <v>13.74</v>
      </c>
      <c r="DB25" s="215">
        <v>13.39</v>
      </c>
      <c r="DC25" s="215">
        <v>13.17</v>
      </c>
      <c r="DD25" s="215">
        <v>12.9</v>
      </c>
      <c r="DE25" s="215">
        <v>13.33</v>
      </c>
      <c r="DF25" s="215">
        <v>13.63</v>
      </c>
      <c r="DG25" s="215">
        <v>14.01</v>
      </c>
      <c r="DH25" s="215">
        <v>13.96</v>
      </c>
      <c r="DI25" s="215">
        <v>13.65</v>
      </c>
      <c r="DJ25" s="215">
        <v>13.36</v>
      </c>
      <c r="DK25" s="215">
        <v>13.94</v>
      </c>
      <c r="DL25" s="215">
        <v>14.25</v>
      </c>
      <c r="DM25" s="215">
        <v>14.16</v>
      </c>
      <c r="DN25" s="215">
        <v>14.4</v>
      </c>
      <c r="DO25" s="215">
        <v>14.14</v>
      </c>
      <c r="DP25" s="215">
        <v>14.11</v>
      </c>
      <c r="DQ25" s="215">
        <v>14.06</v>
      </c>
      <c r="DR25" s="215">
        <v>14.61</v>
      </c>
      <c r="DS25" s="215">
        <v>13.81</v>
      </c>
      <c r="DT25" s="215">
        <v>13.97</v>
      </c>
      <c r="DU25" s="215">
        <v>13.75</v>
      </c>
      <c r="DV25" s="215">
        <v>13.37</v>
      </c>
      <c r="DW25" s="215">
        <v>14.77</v>
      </c>
      <c r="DX25" s="215">
        <v>14.93</v>
      </c>
      <c r="DY25" s="215">
        <v>11.84</v>
      </c>
      <c r="DZ25" s="215">
        <v>12.31</v>
      </c>
      <c r="EA25" s="215">
        <v>16.100000000000001</v>
      </c>
      <c r="EB25" s="215">
        <v>15.66</v>
      </c>
      <c r="EC25" s="215">
        <v>15.26</v>
      </c>
      <c r="ED25" s="215">
        <v>15.64</v>
      </c>
      <c r="EE25" s="215">
        <v>15.55</v>
      </c>
      <c r="EF25" s="215">
        <v>15.67</v>
      </c>
      <c r="EG25" s="215">
        <v>17.28</v>
      </c>
    </row>
    <row r="26" spans="1:137" x14ac:dyDescent="0.3">
      <c r="A26" s="210" t="s">
        <v>988</v>
      </c>
      <c r="B26" s="214" t="s">
        <v>989</v>
      </c>
      <c r="C26" s="215">
        <v>11.79</v>
      </c>
      <c r="D26" s="215">
        <v>11.12</v>
      </c>
      <c r="E26" s="215">
        <v>11.6</v>
      </c>
      <c r="F26" s="215">
        <v>11.52</v>
      </c>
      <c r="G26" s="215">
        <v>11.42</v>
      </c>
      <c r="H26" s="215">
        <v>10.89</v>
      </c>
      <c r="I26" s="215">
        <v>11.13</v>
      </c>
      <c r="J26" s="215">
        <v>10.48</v>
      </c>
      <c r="K26" s="215">
        <v>10.61</v>
      </c>
      <c r="L26" s="215">
        <v>10.99</v>
      </c>
      <c r="M26" s="215">
        <v>10.51</v>
      </c>
      <c r="N26" s="215">
        <v>10.17</v>
      </c>
      <c r="O26" s="215">
        <v>10.41</v>
      </c>
      <c r="P26" s="215">
        <v>11.24</v>
      </c>
      <c r="Q26" s="215">
        <v>11.44</v>
      </c>
      <c r="R26" s="215">
        <v>11.39</v>
      </c>
      <c r="S26" s="215">
        <v>12.02</v>
      </c>
      <c r="T26" s="215">
        <v>12.41</v>
      </c>
      <c r="U26" s="215">
        <v>12.33</v>
      </c>
      <c r="V26" s="215">
        <v>12.04</v>
      </c>
      <c r="W26" s="215">
        <v>12.21</v>
      </c>
      <c r="X26" s="215">
        <v>12.2</v>
      </c>
      <c r="Y26" s="215">
        <v>14.02</v>
      </c>
      <c r="Z26" s="215">
        <v>14.09</v>
      </c>
      <c r="AA26" s="215">
        <v>14.76</v>
      </c>
      <c r="AB26" s="215">
        <v>12.52</v>
      </c>
      <c r="AC26" s="215">
        <v>12.31</v>
      </c>
      <c r="AD26" s="215">
        <v>12.95</v>
      </c>
      <c r="AE26" s="215">
        <v>12.69</v>
      </c>
      <c r="AF26" s="215">
        <v>12.8</v>
      </c>
      <c r="AG26" s="215">
        <v>12.27</v>
      </c>
      <c r="AH26" s="215">
        <v>12.33</v>
      </c>
      <c r="AI26" s="215">
        <v>12.1</v>
      </c>
      <c r="AJ26" s="215">
        <v>12.36</v>
      </c>
      <c r="AK26" s="215">
        <v>12.56</v>
      </c>
      <c r="AL26" s="215">
        <v>11.69</v>
      </c>
      <c r="AM26" s="215">
        <v>11.89</v>
      </c>
      <c r="AN26" s="215">
        <v>12.09</v>
      </c>
      <c r="AO26" s="215">
        <v>12.8</v>
      </c>
      <c r="AP26" s="215">
        <v>12.73</v>
      </c>
      <c r="AQ26" s="215">
        <v>13.73</v>
      </c>
      <c r="AR26" s="215">
        <v>14.89</v>
      </c>
      <c r="AS26" s="215">
        <v>14.63</v>
      </c>
      <c r="AT26" s="215">
        <v>13.92</v>
      </c>
      <c r="AU26" s="215">
        <v>13.78</v>
      </c>
      <c r="AV26" s="215">
        <v>15.37</v>
      </c>
      <c r="AW26" s="215">
        <v>15.31</v>
      </c>
      <c r="AX26" s="215">
        <v>14.83</v>
      </c>
      <c r="AY26" s="215">
        <v>15.2</v>
      </c>
      <c r="AZ26" s="215">
        <v>14.21</v>
      </c>
      <c r="BA26" s="215">
        <v>14.71</v>
      </c>
      <c r="BB26" s="215">
        <v>14.7</v>
      </c>
      <c r="BC26" s="215">
        <v>14.44</v>
      </c>
      <c r="BD26" s="215">
        <v>14.6</v>
      </c>
      <c r="BE26" s="215">
        <v>14.59</v>
      </c>
      <c r="BF26" s="215">
        <v>15.37</v>
      </c>
      <c r="BG26" s="215">
        <v>15.41</v>
      </c>
      <c r="BH26" s="215">
        <v>15.06</v>
      </c>
      <c r="BI26" s="215">
        <v>13.52</v>
      </c>
      <c r="BJ26" s="215">
        <v>13.74</v>
      </c>
      <c r="BK26" s="215">
        <v>15.98</v>
      </c>
      <c r="BL26" s="215">
        <v>14.83</v>
      </c>
      <c r="BM26" s="215">
        <v>12.86</v>
      </c>
      <c r="BN26" s="215">
        <v>14.43</v>
      </c>
      <c r="BO26" s="215">
        <v>14.03</v>
      </c>
      <c r="BP26" s="215">
        <v>13.67</v>
      </c>
      <c r="BQ26" s="215">
        <v>13.72</v>
      </c>
      <c r="BR26" s="215">
        <v>10.14</v>
      </c>
      <c r="BS26" s="215">
        <v>9.89</v>
      </c>
      <c r="BT26" s="215">
        <v>9.9</v>
      </c>
      <c r="BU26" s="215">
        <v>12.25</v>
      </c>
      <c r="BV26" s="215">
        <v>9.91</v>
      </c>
      <c r="BW26" s="215">
        <v>12.19</v>
      </c>
      <c r="BX26" s="215">
        <v>12.08</v>
      </c>
      <c r="BY26" s="215">
        <v>13.12</v>
      </c>
      <c r="BZ26" s="215">
        <v>13.52</v>
      </c>
      <c r="CA26" s="215">
        <v>10.43</v>
      </c>
      <c r="CB26" s="215">
        <v>13.07</v>
      </c>
      <c r="CC26" s="215">
        <v>12.97</v>
      </c>
      <c r="CD26" s="215">
        <v>13.65</v>
      </c>
      <c r="CE26" s="215">
        <v>13.53</v>
      </c>
      <c r="CF26" s="215">
        <v>13.84</v>
      </c>
      <c r="CG26" s="215">
        <v>13.23</v>
      </c>
      <c r="CH26" s="215">
        <v>14.02</v>
      </c>
      <c r="CI26" s="215">
        <v>14.21</v>
      </c>
      <c r="CJ26" s="215">
        <v>13.76</v>
      </c>
      <c r="CK26" s="215">
        <v>15.49</v>
      </c>
      <c r="CL26" s="215">
        <v>15.26</v>
      </c>
      <c r="CM26" s="215">
        <v>15.3</v>
      </c>
      <c r="CN26" s="215">
        <v>14.47</v>
      </c>
      <c r="CO26" s="215">
        <v>14.78</v>
      </c>
      <c r="CP26" s="215">
        <v>14.32</v>
      </c>
      <c r="CQ26" s="215">
        <v>13.47</v>
      </c>
      <c r="CR26" s="215">
        <v>13.38</v>
      </c>
      <c r="CS26" s="215">
        <v>14.01</v>
      </c>
      <c r="CT26" s="215">
        <v>13.59</v>
      </c>
      <c r="CU26" s="215">
        <v>15.13</v>
      </c>
      <c r="CV26" s="215">
        <v>14.47</v>
      </c>
      <c r="CW26" s="215">
        <v>14.83</v>
      </c>
      <c r="CX26" s="215">
        <v>14.97</v>
      </c>
      <c r="CY26" s="215">
        <v>14.13</v>
      </c>
      <c r="CZ26" s="215">
        <v>13.87</v>
      </c>
      <c r="DA26" s="215">
        <v>13.82</v>
      </c>
      <c r="DB26" s="215">
        <v>13.43</v>
      </c>
      <c r="DC26" s="215">
        <v>13.2</v>
      </c>
      <c r="DD26" s="215">
        <v>13.25</v>
      </c>
      <c r="DE26" s="215">
        <v>13.84</v>
      </c>
      <c r="DF26" s="215">
        <v>14.05</v>
      </c>
      <c r="DG26" s="215">
        <v>15.1</v>
      </c>
      <c r="DH26" s="215">
        <v>13.96</v>
      </c>
      <c r="DI26" s="215">
        <v>13.92</v>
      </c>
      <c r="DJ26" s="215">
        <v>13.9</v>
      </c>
      <c r="DK26" s="215">
        <v>14.48</v>
      </c>
      <c r="DL26" s="215">
        <v>14.38</v>
      </c>
      <c r="DM26" s="215">
        <v>14.54</v>
      </c>
      <c r="DN26" s="215">
        <v>15.18</v>
      </c>
      <c r="DO26" s="215">
        <v>14.33</v>
      </c>
      <c r="DP26" s="215">
        <v>14.31</v>
      </c>
      <c r="DQ26" s="215">
        <v>15.44</v>
      </c>
      <c r="DR26" s="215">
        <v>14.86</v>
      </c>
      <c r="DS26" s="215">
        <v>15.9</v>
      </c>
      <c r="DT26" s="215">
        <v>14.01</v>
      </c>
      <c r="DU26" s="215">
        <v>14.15</v>
      </c>
      <c r="DV26" s="215">
        <v>14.73</v>
      </c>
      <c r="DW26" s="215">
        <v>15.51</v>
      </c>
      <c r="DX26" s="215">
        <v>15.02</v>
      </c>
      <c r="DY26" s="215">
        <v>12.37</v>
      </c>
      <c r="DZ26" s="215">
        <v>16.43</v>
      </c>
      <c r="EA26" s="215">
        <v>16.989999999999998</v>
      </c>
      <c r="EB26" s="215">
        <v>15.87</v>
      </c>
      <c r="EC26" s="215">
        <v>16.46</v>
      </c>
      <c r="ED26" s="215">
        <v>15.82</v>
      </c>
      <c r="EE26" s="215">
        <v>15.75</v>
      </c>
      <c r="EF26" s="215">
        <v>17.84</v>
      </c>
      <c r="EG26" s="215">
        <v>17.29</v>
      </c>
    </row>
    <row r="27" spans="1:137" x14ac:dyDescent="0.3">
      <c r="A27" s="210" t="s">
        <v>993</v>
      </c>
      <c r="B27" s="214" t="s">
        <v>205</v>
      </c>
      <c r="C27" s="215">
        <v>21.97</v>
      </c>
      <c r="D27" s="215">
        <v>21.61</v>
      </c>
      <c r="E27" s="215">
        <v>21.82</v>
      </c>
      <c r="F27" s="215">
        <v>21.76</v>
      </c>
      <c r="G27" s="215">
        <v>19.350000000000001</v>
      </c>
      <c r="H27" s="215">
        <v>18.73</v>
      </c>
      <c r="I27" s="215">
        <v>18.5</v>
      </c>
      <c r="J27" s="215">
        <v>18.84</v>
      </c>
      <c r="K27" s="215">
        <v>17.8</v>
      </c>
      <c r="L27" s="215">
        <v>18.7</v>
      </c>
      <c r="M27" s="215">
        <v>19.96</v>
      </c>
      <c r="N27" s="215">
        <v>19.260000000000002</v>
      </c>
      <c r="O27" s="215">
        <v>18.809999999999999</v>
      </c>
      <c r="P27" s="215">
        <v>19.32</v>
      </c>
      <c r="Q27" s="215">
        <v>19.11</v>
      </c>
      <c r="R27" s="215">
        <v>19.43</v>
      </c>
      <c r="S27" s="215">
        <v>21.01</v>
      </c>
      <c r="T27" s="215">
        <v>21.82</v>
      </c>
      <c r="U27" s="215">
        <v>22.22</v>
      </c>
      <c r="V27" s="215">
        <v>26.27</v>
      </c>
      <c r="W27" s="215">
        <v>26.95</v>
      </c>
      <c r="X27" s="215">
        <v>26.59</v>
      </c>
      <c r="Y27" s="215">
        <v>25.79</v>
      </c>
      <c r="Z27" s="215">
        <v>25.96</v>
      </c>
      <c r="AA27" s="215">
        <v>26.12</v>
      </c>
      <c r="AB27" s="215">
        <v>26.6</v>
      </c>
      <c r="AC27" s="215">
        <v>27.32</v>
      </c>
      <c r="AD27" s="215">
        <v>27.5</v>
      </c>
      <c r="AE27" s="215">
        <v>25.81</v>
      </c>
      <c r="AF27" s="215">
        <v>25.47</v>
      </c>
      <c r="AG27" s="215">
        <v>25.11</v>
      </c>
      <c r="AH27" s="215">
        <v>21.62</v>
      </c>
      <c r="AI27" s="215">
        <v>21.02</v>
      </c>
      <c r="AJ27" s="215">
        <v>20.75</v>
      </c>
      <c r="AK27" s="215">
        <v>21.62</v>
      </c>
      <c r="AL27" s="215">
        <v>20.96</v>
      </c>
      <c r="AM27" s="215">
        <v>20.34</v>
      </c>
      <c r="AN27" s="215">
        <v>20.38</v>
      </c>
      <c r="AO27" s="215">
        <v>20.99</v>
      </c>
      <c r="AP27" s="215">
        <v>21.15</v>
      </c>
      <c r="AQ27" s="215">
        <v>23.77</v>
      </c>
      <c r="AR27" s="215">
        <v>24.98</v>
      </c>
      <c r="AS27" s="215">
        <v>25.68</v>
      </c>
      <c r="AT27" s="215">
        <v>26.82</v>
      </c>
      <c r="AU27" s="215">
        <v>27</v>
      </c>
      <c r="AV27" s="215">
        <v>26.86</v>
      </c>
      <c r="AW27" s="215">
        <v>25.46</v>
      </c>
      <c r="AX27" s="215">
        <v>25.15</v>
      </c>
      <c r="AY27" s="215">
        <v>25.03</v>
      </c>
      <c r="AZ27" s="215">
        <v>25.37</v>
      </c>
      <c r="BA27" s="215">
        <v>25.15</v>
      </c>
      <c r="BB27" s="215">
        <v>25.53</v>
      </c>
      <c r="BC27" s="215">
        <v>24.5</v>
      </c>
      <c r="BD27" s="215">
        <v>24.91</v>
      </c>
      <c r="BE27" s="215">
        <v>25.16</v>
      </c>
      <c r="BF27" s="215">
        <v>24.37</v>
      </c>
      <c r="BG27" s="215">
        <v>24.77</v>
      </c>
      <c r="BH27" s="215">
        <v>25.01</v>
      </c>
      <c r="BI27" s="215">
        <v>21.84</v>
      </c>
      <c r="BJ27" s="215">
        <v>22.14</v>
      </c>
      <c r="BK27" s="215">
        <v>22.6</v>
      </c>
      <c r="BL27" s="215">
        <v>22.92</v>
      </c>
      <c r="BM27" s="215">
        <v>21.15</v>
      </c>
      <c r="BN27" s="215">
        <v>21.5</v>
      </c>
      <c r="BO27" s="215">
        <v>18.72</v>
      </c>
      <c r="BP27" s="215">
        <v>18.649999999999999</v>
      </c>
      <c r="BQ27" s="215">
        <v>18.510000000000002</v>
      </c>
      <c r="BR27" s="215">
        <v>16.399999999999999</v>
      </c>
      <c r="BS27" s="215">
        <v>15.5</v>
      </c>
      <c r="BT27" s="215">
        <v>16.07</v>
      </c>
      <c r="BU27" s="215">
        <v>17.649999999999999</v>
      </c>
      <c r="BV27" s="215">
        <v>17.66</v>
      </c>
      <c r="BW27" s="215">
        <v>17.16</v>
      </c>
      <c r="BX27" s="215">
        <v>17.350000000000001</v>
      </c>
      <c r="BY27" s="215">
        <v>17.93</v>
      </c>
      <c r="BZ27" s="215">
        <v>18.670000000000002</v>
      </c>
      <c r="CA27" s="215">
        <v>18.239999999999998</v>
      </c>
      <c r="CB27" s="215">
        <v>18.25</v>
      </c>
      <c r="CC27" s="215">
        <v>17.8</v>
      </c>
      <c r="CD27" s="215">
        <v>18.68</v>
      </c>
      <c r="CE27" s="215">
        <v>18.77</v>
      </c>
      <c r="CF27" s="215">
        <v>18.45</v>
      </c>
      <c r="CG27" s="215">
        <v>17.72</v>
      </c>
      <c r="CH27" s="215">
        <v>17.84</v>
      </c>
      <c r="CI27" s="215">
        <v>18.53</v>
      </c>
      <c r="CJ27" s="215">
        <v>18.45</v>
      </c>
      <c r="CK27" s="215">
        <v>18.61</v>
      </c>
      <c r="CL27" s="215">
        <v>19.489999999999998</v>
      </c>
      <c r="CM27" s="215">
        <v>19.03</v>
      </c>
      <c r="CN27" s="215">
        <v>18.2</v>
      </c>
      <c r="CO27" s="215">
        <v>18.28</v>
      </c>
      <c r="CP27" s="215">
        <v>18.29</v>
      </c>
      <c r="CQ27" s="215">
        <v>18.14</v>
      </c>
      <c r="CR27" s="215">
        <v>16.79</v>
      </c>
      <c r="CS27" s="215">
        <v>17.5</v>
      </c>
      <c r="CT27" s="215">
        <v>17.79</v>
      </c>
      <c r="CU27" s="215">
        <v>17.63</v>
      </c>
      <c r="CV27" s="215">
        <v>17.649999999999999</v>
      </c>
      <c r="CW27" s="215">
        <v>19.7</v>
      </c>
      <c r="CX27" s="215">
        <v>20.350000000000001</v>
      </c>
      <c r="CY27" s="215">
        <v>17.989999999999998</v>
      </c>
      <c r="CZ27" s="215">
        <v>17.45</v>
      </c>
      <c r="DA27" s="215">
        <v>17.559999999999999</v>
      </c>
      <c r="DB27" s="215">
        <v>17.079999999999998</v>
      </c>
      <c r="DC27" s="215">
        <v>17.04</v>
      </c>
      <c r="DD27" s="215">
        <v>16.73</v>
      </c>
      <c r="DE27" s="215">
        <v>17.010000000000002</v>
      </c>
      <c r="DF27" s="215">
        <v>17.239999999999998</v>
      </c>
      <c r="DG27" s="215">
        <v>17.21</v>
      </c>
      <c r="DH27" s="215">
        <v>16.71</v>
      </c>
      <c r="DI27" s="215">
        <v>16.170000000000002</v>
      </c>
      <c r="DJ27" s="215">
        <v>16.149999999999999</v>
      </c>
      <c r="DK27" s="215">
        <v>18.53</v>
      </c>
      <c r="DL27" s="215">
        <v>18.91</v>
      </c>
      <c r="DM27" s="215">
        <v>19.100000000000001</v>
      </c>
      <c r="DN27" s="215">
        <v>20.58</v>
      </c>
      <c r="DO27" s="215">
        <v>21.15</v>
      </c>
      <c r="DP27" s="215">
        <v>21.28</v>
      </c>
      <c r="DQ27" s="215">
        <v>23.47</v>
      </c>
      <c r="DR27" s="215">
        <v>23.29</v>
      </c>
      <c r="DS27" s="215">
        <v>22.46</v>
      </c>
      <c r="DT27" s="215">
        <v>22.07</v>
      </c>
      <c r="DU27" s="215">
        <v>19.88</v>
      </c>
      <c r="DV27" s="215">
        <v>19.97</v>
      </c>
      <c r="DW27" s="215">
        <v>20.82</v>
      </c>
      <c r="DX27" s="215">
        <v>20.67</v>
      </c>
      <c r="DY27" s="215">
        <v>20.92</v>
      </c>
      <c r="DZ27" s="215">
        <v>22.14</v>
      </c>
      <c r="EA27" s="215">
        <v>22.57</v>
      </c>
      <c r="EB27" s="215">
        <v>23.73</v>
      </c>
      <c r="EC27" s="215">
        <v>22.72</v>
      </c>
      <c r="ED27" s="215">
        <v>22.04</v>
      </c>
      <c r="EE27" s="215">
        <v>21.94</v>
      </c>
      <c r="EF27" s="215">
        <v>22.47</v>
      </c>
      <c r="EG27" s="215">
        <v>23.73</v>
      </c>
    </row>
    <row r="28" spans="1:137" x14ac:dyDescent="0.3">
      <c r="A28" s="210" t="s">
        <v>190</v>
      </c>
      <c r="B28" s="214" t="s">
        <v>985</v>
      </c>
      <c r="C28" s="215">
        <v>22.31</v>
      </c>
      <c r="D28" s="215">
        <v>22.14</v>
      </c>
      <c r="E28" s="215">
        <v>22.27</v>
      </c>
      <c r="F28" s="215">
        <v>22.03</v>
      </c>
      <c r="G28" s="215">
        <v>21.68</v>
      </c>
      <c r="H28" s="215">
        <v>19.260000000000002</v>
      </c>
      <c r="I28" s="215">
        <v>18.84</v>
      </c>
      <c r="J28" s="215">
        <v>19.420000000000002</v>
      </c>
      <c r="K28" s="215">
        <v>18.29</v>
      </c>
      <c r="L28" s="215">
        <v>18.97</v>
      </c>
      <c r="M28" s="215">
        <v>20.54</v>
      </c>
      <c r="N28" s="215">
        <v>19.88</v>
      </c>
      <c r="O28" s="215">
        <v>19.22</v>
      </c>
      <c r="P28" s="215">
        <v>19.73</v>
      </c>
      <c r="Q28" s="215">
        <v>19.53</v>
      </c>
      <c r="R28" s="215">
        <v>19.739999999999998</v>
      </c>
      <c r="S28" s="215">
        <v>21.48</v>
      </c>
      <c r="T28" s="215">
        <v>22.35</v>
      </c>
      <c r="U28" s="215">
        <v>22.41</v>
      </c>
      <c r="V28" s="215">
        <v>27.49</v>
      </c>
      <c r="W28" s="215">
        <v>27.59</v>
      </c>
      <c r="X28" s="215">
        <v>27.01</v>
      </c>
      <c r="Y28" s="215">
        <v>26.65</v>
      </c>
      <c r="Z28" s="215">
        <v>26.4</v>
      </c>
      <c r="AA28" s="215">
        <v>26.37</v>
      </c>
      <c r="AB28" s="215">
        <v>27.3</v>
      </c>
      <c r="AC28" s="215">
        <v>27.63</v>
      </c>
      <c r="AD28" s="215">
        <v>27.79</v>
      </c>
      <c r="AE28" s="215">
        <v>27.58</v>
      </c>
      <c r="AF28" s="215">
        <v>25.8</v>
      </c>
      <c r="AG28" s="215">
        <v>25.46</v>
      </c>
      <c r="AH28" s="215">
        <v>25.61</v>
      </c>
      <c r="AI28" s="215">
        <v>21.31</v>
      </c>
      <c r="AJ28" s="215">
        <v>21.38</v>
      </c>
      <c r="AK28" s="215">
        <v>21.88</v>
      </c>
      <c r="AL28" s="215">
        <v>21.69</v>
      </c>
      <c r="AM28" s="215">
        <v>20.49</v>
      </c>
      <c r="AN28" s="215">
        <v>20.7</v>
      </c>
      <c r="AO28" s="215">
        <v>21.39</v>
      </c>
      <c r="AP28" s="215">
        <v>21.35</v>
      </c>
      <c r="AQ28" s="215">
        <v>24.93</v>
      </c>
      <c r="AR28" s="215">
        <v>25.65</v>
      </c>
      <c r="AS28" s="215">
        <v>25.86</v>
      </c>
      <c r="AT28" s="215">
        <v>27.12</v>
      </c>
      <c r="AU28" s="215">
        <v>27.34</v>
      </c>
      <c r="AV28" s="215">
        <v>27.07</v>
      </c>
      <c r="AW28" s="215">
        <v>26.67</v>
      </c>
      <c r="AX28" s="215">
        <v>25.71</v>
      </c>
      <c r="AY28" s="215">
        <v>25.54</v>
      </c>
      <c r="AZ28" s="215">
        <v>25.71</v>
      </c>
      <c r="BA28" s="215">
        <v>25.39</v>
      </c>
      <c r="BB28" s="215">
        <v>25.8</v>
      </c>
      <c r="BC28" s="215">
        <v>25.54</v>
      </c>
      <c r="BD28" s="215">
        <v>25.36</v>
      </c>
      <c r="BE28" s="215">
        <v>25.37</v>
      </c>
      <c r="BF28" s="215">
        <v>24.81</v>
      </c>
      <c r="BG28" s="215">
        <v>25.24</v>
      </c>
      <c r="BH28" s="215">
        <v>25.28</v>
      </c>
      <c r="BI28" s="215">
        <v>22.02</v>
      </c>
      <c r="BJ28" s="215">
        <v>22.38</v>
      </c>
      <c r="BK28" s="215">
        <v>23.16</v>
      </c>
      <c r="BL28" s="215">
        <v>23.42</v>
      </c>
      <c r="BM28" s="215">
        <v>24.03</v>
      </c>
      <c r="BN28" s="215">
        <v>22.39</v>
      </c>
      <c r="BO28" s="215">
        <v>21.38</v>
      </c>
      <c r="BP28" s="215">
        <v>19.510000000000002</v>
      </c>
      <c r="BQ28" s="215">
        <v>18.95</v>
      </c>
      <c r="BR28" s="215">
        <v>18.71</v>
      </c>
      <c r="BS28" s="215">
        <v>15.9</v>
      </c>
      <c r="BT28" s="215">
        <v>16.59</v>
      </c>
      <c r="BU28" s="215">
        <v>18.260000000000002</v>
      </c>
      <c r="BV28" s="215">
        <v>17.95</v>
      </c>
      <c r="BW28" s="215">
        <v>17.47</v>
      </c>
      <c r="BX28" s="215">
        <v>17.54</v>
      </c>
      <c r="BY28" s="215">
        <v>18.41</v>
      </c>
      <c r="BZ28" s="215">
        <v>19</v>
      </c>
      <c r="CA28" s="215">
        <v>18.850000000000001</v>
      </c>
      <c r="CB28" s="215">
        <v>18.75</v>
      </c>
      <c r="CC28" s="215">
        <v>18.010000000000002</v>
      </c>
      <c r="CD28" s="215">
        <v>18.97</v>
      </c>
      <c r="CE28" s="215">
        <v>19.22</v>
      </c>
      <c r="CF28" s="215">
        <v>18.75</v>
      </c>
      <c r="CG28" s="215">
        <v>18.53</v>
      </c>
      <c r="CH28" s="215">
        <v>18.239999999999998</v>
      </c>
      <c r="CI28" s="215">
        <v>18.75</v>
      </c>
      <c r="CJ28" s="215">
        <v>18.75</v>
      </c>
      <c r="CK28" s="215">
        <v>19.5</v>
      </c>
      <c r="CL28" s="215">
        <v>19.850000000000001</v>
      </c>
      <c r="CM28" s="215">
        <v>19.36</v>
      </c>
      <c r="CN28" s="215">
        <v>19.12</v>
      </c>
      <c r="CO28" s="215">
        <v>19.28</v>
      </c>
      <c r="CP28" s="215">
        <v>19.25</v>
      </c>
      <c r="CQ28" s="215">
        <v>18.829999999999998</v>
      </c>
      <c r="CR28" s="215">
        <v>17.54</v>
      </c>
      <c r="CS28" s="215">
        <v>18.18</v>
      </c>
      <c r="CT28" s="215">
        <v>18.25</v>
      </c>
      <c r="CU28" s="215">
        <v>17.89</v>
      </c>
      <c r="CV28" s="215">
        <v>19.95</v>
      </c>
      <c r="CW28" s="215">
        <v>20.05</v>
      </c>
      <c r="CX28" s="215">
        <v>20.59</v>
      </c>
      <c r="CY28" s="215">
        <v>20.47</v>
      </c>
      <c r="CZ28" s="215">
        <v>17.64</v>
      </c>
      <c r="DA28" s="215">
        <v>17.84</v>
      </c>
      <c r="DB28" s="215">
        <v>17.510000000000002</v>
      </c>
      <c r="DC28" s="215">
        <v>17.37</v>
      </c>
      <c r="DD28" s="215">
        <v>17.010000000000002</v>
      </c>
      <c r="DE28" s="215">
        <v>17.21</v>
      </c>
      <c r="DF28" s="215">
        <v>17.57</v>
      </c>
      <c r="DG28" s="215">
        <v>17.64</v>
      </c>
      <c r="DH28" s="215">
        <v>17.03</v>
      </c>
      <c r="DI28" s="215">
        <v>16.41</v>
      </c>
      <c r="DJ28" s="215">
        <v>16.39</v>
      </c>
      <c r="DK28" s="215">
        <v>19.27</v>
      </c>
      <c r="DL28" s="215">
        <v>19.100000000000001</v>
      </c>
      <c r="DM28" s="215">
        <v>19.52</v>
      </c>
      <c r="DN28" s="215">
        <v>21.05</v>
      </c>
      <c r="DO28" s="215">
        <v>21.32</v>
      </c>
      <c r="DP28" s="215">
        <v>21.6</v>
      </c>
      <c r="DQ28" s="215">
        <v>24.25</v>
      </c>
      <c r="DR28" s="215">
        <v>23.85</v>
      </c>
      <c r="DS28" s="215">
        <v>23.18</v>
      </c>
      <c r="DT28" s="215">
        <v>23.1</v>
      </c>
      <c r="DU28" s="215">
        <v>20.14</v>
      </c>
      <c r="DV28" s="215">
        <v>20.69</v>
      </c>
      <c r="DW28" s="215">
        <v>21.15</v>
      </c>
      <c r="DX28" s="215">
        <v>21.02</v>
      </c>
      <c r="DY28" s="215">
        <v>21.55</v>
      </c>
      <c r="DZ28" s="215">
        <v>22.42</v>
      </c>
      <c r="EA28" s="215">
        <v>23.45</v>
      </c>
      <c r="EB28" s="215">
        <v>24.04</v>
      </c>
      <c r="EC28" s="215">
        <v>23.83</v>
      </c>
      <c r="ED28" s="215">
        <v>22.42</v>
      </c>
      <c r="EE28" s="215">
        <v>22.57</v>
      </c>
      <c r="EF28" s="215">
        <v>23.84</v>
      </c>
      <c r="EG28" s="215">
        <v>23.76</v>
      </c>
    </row>
    <row r="29" spans="1:137" x14ac:dyDescent="0.3">
      <c r="A29" s="210" t="s">
        <v>986</v>
      </c>
      <c r="B29" s="214" t="s">
        <v>987</v>
      </c>
      <c r="C29" s="215">
        <v>21.52</v>
      </c>
      <c r="D29" s="215">
        <v>21.07</v>
      </c>
      <c r="E29" s="215">
        <v>21.47</v>
      </c>
      <c r="F29" s="215">
        <v>21.47</v>
      </c>
      <c r="G29" s="215">
        <v>18.75</v>
      </c>
      <c r="H29" s="215">
        <v>18.260000000000002</v>
      </c>
      <c r="I29" s="215">
        <v>18.25</v>
      </c>
      <c r="J29" s="215">
        <v>18.07</v>
      </c>
      <c r="K29" s="215">
        <v>17.510000000000002</v>
      </c>
      <c r="L29" s="215">
        <v>18.25</v>
      </c>
      <c r="M29" s="215">
        <v>18.95</v>
      </c>
      <c r="N29" s="215">
        <v>18.79</v>
      </c>
      <c r="O29" s="215">
        <v>18.25</v>
      </c>
      <c r="P29" s="215">
        <v>18.46</v>
      </c>
      <c r="Q29" s="215">
        <v>18.579999999999998</v>
      </c>
      <c r="R29" s="215">
        <v>19.09</v>
      </c>
      <c r="S29" s="215">
        <v>19.62</v>
      </c>
      <c r="T29" s="215">
        <v>21.43</v>
      </c>
      <c r="U29" s="215">
        <v>21.96</v>
      </c>
      <c r="V29" s="215">
        <v>21.89</v>
      </c>
      <c r="W29" s="215">
        <v>26.29</v>
      </c>
      <c r="X29" s="215">
        <v>26.31</v>
      </c>
      <c r="Y29" s="215">
        <v>25.01</v>
      </c>
      <c r="Z29" s="215">
        <v>25.6</v>
      </c>
      <c r="AA29" s="215">
        <v>25.93</v>
      </c>
      <c r="AB29" s="215">
        <v>26.02</v>
      </c>
      <c r="AC29" s="215">
        <v>26.97</v>
      </c>
      <c r="AD29" s="215">
        <v>27.18</v>
      </c>
      <c r="AE29" s="215">
        <v>24.88</v>
      </c>
      <c r="AF29" s="215">
        <v>25.17</v>
      </c>
      <c r="AG29" s="215">
        <v>24.88</v>
      </c>
      <c r="AH29" s="215">
        <v>20.84</v>
      </c>
      <c r="AI29" s="215">
        <v>20.69</v>
      </c>
      <c r="AJ29" s="215">
        <v>20.46</v>
      </c>
      <c r="AK29" s="215">
        <v>21.28</v>
      </c>
      <c r="AL29" s="215">
        <v>20.25</v>
      </c>
      <c r="AM29" s="215">
        <v>20.09</v>
      </c>
      <c r="AN29" s="215">
        <v>20.03</v>
      </c>
      <c r="AO29" s="215">
        <v>20.37</v>
      </c>
      <c r="AP29" s="215">
        <v>20.99</v>
      </c>
      <c r="AQ29" s="215">
        <v>21.19</v>
      </c>
      <c r="AR29" s="215">
        <v>23.83</v>
      </c>
      <c r="AS29" s="215">
        <v>25.47</v>
      </c>
      <c r="AT29" s="215">
        <v>25.77</v>
      </c>
      <c r="AU29" s="215">
        <v>26.41</v>
      </c>
      <c r="AV29" s="215">
        <v>26.3</v>
      </c>
      <c r="AW29" s="215">
        <v>24.87</v>
      </c>
      <c r="AX29" s="215">
        <v>24.45</v>
      </c>
      <c r="AY29" s="215">
        <v>24.39</v>
      </c>
      <c r="AZ29" s="215">
        <v>24.61</v>
      </c>
      <c r="BA29" s="215">
        <v>24.83</v>
      </c>
      <c r="BB29" s="215">
        <v>25.32</v>
      </c>
      <c r="BC29" s="215">
        <v>23.79</v>
      </c>
      <c r="BD29" s="215">
        <v>24.43</v>
      </c>
      <c r="BE29" s="215">
        <v>24.79</v>
      </c>
      <c r="BF29" s="215">
        <v>23.73</v>
      </c>
      <c r="BG29" s="215">
        <v>24.51</v>
      </c>
      <c r="BH29" s="215">
        <v>24.61</v>
      </c>
      <c r="BI29" s="215">
        <v>21.53</v>
      </c>
      <c r="BJ29" s="215">
        <v>21.85</v>
      </c>
      <c r="BK29" s="215">
        <v>22.01</v>
      </c>
      <c r="BL29" s="215">
        <v>21.94</v>
      </c>
      <c r="BM29" s="215">
        <v>18.399999999999999</v>
      </c>
      <c r="BN29" s="215">
        <v>19.84</v>
      </c>
      <c r="BO29" s="215">
        <v>18.16</v>
      </c>
      <c r="BP29" s="215">
        <v>17.7</v>
      </c>
      <c r="BQ29" s="215">
        <v>18</v>
      </c>
      <c r="BR29" s="215">
        <v>15.74</v>
      </c>
      <c r="BS29" s="215">
        <v>15.16</v>
      </c>
      <c r="BT29" s="215">
        <v>15.5</v>
      </c>
      <c r="BU29" s="215">
        <v>16.13</v>
      </c>
      <c r="BV29" s="215">
        <v>17.46</v>
      </c>
      <c r="BW29" s="215">
        <v>16.84</v>
      </c>
      <c r="BX29" s="215">
        <v>17.07</v>
      </c>
      <c r="BY29" s="215">
        <v>17.149999999999999</v>
      </c>
      <c r="BZ29" s="215">
        <v>18.350000000000001</v>
      </c>
      <c r="CA29" s="215">
        <v>18.04</v>
      </c>
      <c r="CB29" s="215">
        <v>17.82</v>
      </c>
      <c r="CC29" s="215">
        <v>17.55</v>
      </c>
      <c r="CD29" s="215">
        <v>17.690000000000001</v>
      </c>
      <c r="CE29" s="215">
        <v>18.07</v>
      </c>
      <c r="CF29" s="215">
        <v>18.03</v>
      </c>
      <c r="CG29" s="215">
        <v>17.190000000000001</v>
      </c>
      <c r="CH29" s="215">
        <v>17.18</v>
      </c>
      <c r="CI29" s="215">
        <v>18.190000000000001</v>
      </c>
      <c r="CJ29" s="215">
        <v>17.45</v>
      </c>
      <c r="CK29" s="215">
        <v>17.739999999999998</v>
      </c>
      <c r="CL29" s="215">
        <v>18.98</v>
      </c>
      <c r="CM29" s="215">
        <v>18.68</v>
      </c>
      <c r="CN29" s="215">
        <v>17.27</v>
      </c>
      <c r="CO29" s="215">
        <v>17.82</v>
      </c>
      <c r="CP29" s="215">
        <v>17.690000000000001</v>
      </c>
      <c r="CQ29" s="215">
        <v>16.989999999999998</v>
      </c>
      <c r="CR29" s="215">
        <v>16.260000000000002</v>
      </c>
      <c r="CS29" s="215">
        <v>17.03</v>
      </c>
      <c r="CT29" s="215">
        <v>17.36</v>
      </c>
      <c r="CU29" s="215">
        <v>17.22</v>
      </c>
      <c r="CV29" s="215">
        <v>17.239999999999998</v>
      </c>
      <c r="CW29" s="215">
        <v>19.149999999999999</v>
      </c>
      <c r="CX29" s="215">
        <v>19.93</v>
      </c>
      <c r="CY29" s="215">
        <v>17.25</v>
      </c>
      <c r="CZ29" s="215">
        <v>17.260000000000002</v>
      </c>
      <c r="DA29" s="215">
        <v>17.29</v>
      </c>
      <c r="DB29" s="215">
        <v>16.88</v>
      </c>
      <c r="DC29" s="215">
        <v>16.59</v>
      </c>
      <c r="DD29" s="215">
        <v>16.25</v>
      </c>
      <c r="DE29" s="215">
        <v>16.66</v>
      </c>
      <c r="DF29" s="215">
        <v>16.84</v>
      </c>
      <c r="DG29" s="215">
        <v>16.73</v>
      </c>
      <c r="DH29" s="215">
        <v>16.170000000000002</v>
      </c>
      <c r="DI29" s="215">
        <v>16.010000000000002</v>
      </c>
      <c r="DJ29" s="215">
        <v>15.66</v>
      </c>
      <c r="DK29" s="215">
        <v>16.350000000000001</v>
      </c>
      <c r="DL29" s="215">
        <v>18.77</v>
      </c>
      <c r="DM29" s="215">
        <v>18.79</v>
      </c>
      <c r="DN29" s="215">
        <v>19.309999999999999</v>
      </c>
      <c r="DO29" s="215">
        <v>20.94</v>
      </c>
      <c r="DP29" s="215">
        <v>20.93</v>
      </c>
      <c r="DQ29" s="215">
        <v>20.86</v>
      </c>
      <c r="DR29" s="215">
        <v>22.78</v>
      </c>
      <c r="DS29" s="215">
        <v>21.55</v>
      </c>
      <c r="DT29" s="215">
        <v>19.96</v>
      </c>
      <c r="DU29" s="215">
        <v>19.55</v>
      </c>
      <c r="DV29" s="215">
        <v>18.96</v>
      </c>
      <c r="DW29" s="215">
        <v>20.55</v>
      </c>
      <c r="DX29" s="215">
        <v>20.41</v>
      </c>
      <c r="DY29" s="215">
        <v>20.46</v>
      </c>
      <c r="DZ29" s="215">
        <v>21.45</v>
      </c>
      <c r="EA29" s="215">
        <v>21.91</v>
      </c>
      <c r="EB29" s="215">
        <v>23.35</v>
      </c>
      <c r="EC29" s="215">
        <v>22.31</v>
      </c>
      <c r="ED29" s="215">
        <v>21.74</v>
      </c>
      <c r="EE29" s="215">
        <v>21.59</v>
      </c>
      <c r="EF29" s="215">
        <v>21.66</v>
      </c>
      <c r="EG29" s="215">
        <v>23.71</v>
      </c>
    </row>
    <row r="30" spans="1:137" x14ac:dyDescent="0.3">
      <c r="A30" s="210" t="s">
        <v>988</v>
      </c>
      <c r="B30" s="214" t="s">
        <v>989</v>
      </c>
      <c r="C30" s="215">
        <v>21.9</v>
      </c>
      <c r="D30" s="215">
        <v>21.73</v>
      </c>
      <c r="E30" s="215">
        <v>21.84</v>
      </c>
      <c r="F30" s="215">
        <v>21.47</v>
      </c>
      <c r="G30" s="215">
        <v>19.25</v>
      </c>
      <c r="H30" s="215">
        <v>18.260000000000002</v>
      </c>
      <c r="I30" s="215">
        <v>18.59</v>
      </c>
      <c r="J30" s="215">
        <v>18.07</v>
      </c>
      <c r="K30" s="215">
        <v>18.29</v>
      </c>
      <c r="L30" s="215">
        <v>18.95</v>
      </c>
      <c r="M30" s="215">
        <v>19.77</v>
      </c>
      <c r="N30" s="215">
        <v>19.12</v>
      </c>
      <c r="O30" s="215">
        <v>19.22</v>
      </c>
      <c r="P30" s="215">
        <v>18.57</v>
      </c>
      <c r="Q30" s="215">
        <v>19.52</v>
      </c>
      <c r="R30" s="215">
        <v>19.43</v>
      </c>
      <c r="S30" s="215">
        <v>21.48</v>
      </c>
      <c r="T30" s="215">
        <v>22.35</v>
      </c>
      <c r="U30" s="215">
        <v>22.08</v>
      </c>
      <c r="V30" s="215">
        <v>26.62</v>
      </c>
      <c r="W30" s="215">
        <v>27.02</v>
      </c>
      <c r="X30" s="215">
        <v>27.01</v>
      </c>
      <c r="Y30" s="215">
        <v>25.77</v>
      </c>
      <c r="Z30" s="215">
        <v>25.9</v>
      </c>
      <c r="AA30" s="215">
        <v>26.16</v>
      </c>
      <c r="AB30" s="215">
        <v>27.3</v>
      </c>
      <c r="AC30" s="215">
        <v>27.34</v>
      </c>
      <c r="AD30" s="215">
        <v>27.71</v>
      </c>
      <c r="AE30" s="215">
        <v>25.67</v>
      </c>
      <c r="AF30" s="215">
        <v>25.17</v>
      </c>
      <c r="AG30" s="215">
        <v>25.21</v>
      </c>
      <c r="AH30" s="215">
        <v>21.09</v>
      </c>
      <c r="AI30" s="215">
        <v>20.69</v>
      </c>
      <c r="AJ30" s="215">
        <v>21.38</v>
      </c>
      <c r="AK30" s="215">
        <v>21.75</v>
      </c>
      <c r="AL30" s="215">
        <v>20.25</v>
      </c>
      <c r="AM30" s="215">
        <v>20.420000000000002</v>
      </c>
      <c r="AN30" s="215">
        <v>20.57</v>
      </c>
      <c r="AO30" s="215">
        <v>21.2</v>
      </c>
      <c r="AP30" s="215">
        <v>21.26</v>
      </c>
      <c r="AQ30" s="215">
        <v>24.47</v>
      </c>
      <c r="AR30" s="215">
        <v>25.53</v>
      </c>
      <c r="AS30" s="215">
        <v>25.84</v>
      </c>
      <c r="AT30" s="215">
        <v>27.01</v>
      </c>
      <c r="AU30" s="215">
        <v>26.73</v>
      </c>
      <c r="AV30" s="215">
        <v>26.3</v>
      </c>
      <c r="AW30" s="215">
        <v>25.34</v>
      </c>
      <c r="AX30" s="215">
        <v>24.55</v>
      </c>
      <c r="AY30" s="215">
        <v>25.54</v>
      </c>
      <c r="AZ30" s="215">
        <v>24.78</v>
      </c>
      <c r="BA30" s="215">
        <v>25.37</v>
      </c>
      <c r="BB30" s="215">
        <v>25.6</v>
      </c>
      <c r="BC30" s="215">
        <v>24.38</v>
      </c>
      <c r="BD30" s="215">
        <v>24.99</v>
      </c>
      <c r="BE30" s="215">
        <v>24.79</v>
      </c>
      <c r="BF30" s="215">
        <v>24.65</v>
      </c>
      <c r="BG30" s="215">
        <v>25.24</v>
      </c>
      <c r="BH30" s="215">
        <v>24.93</v>
      </c>
      <c r="BI30" s="215">
        <v>21.97</v>
      </c>
      <c r="BJ30" s="215">
        <v>22.33</v>
      </c>
      <c r="BK30" s="215">
        <v>23.11</v>
      </c>
      <c r="BL30" s="215">
        <v>23.27</v>
      </c>
      <c r="BM30" s="215">
        <v>20.72</v>
      </c>
      <c r="BN30" s="215">
        <v>21.76</v>
      </c>
      <c r="BO30" s="215">
        <v>18.82</v>
      </c>
      <c r="BP30" s="215">
        <v>18.079999999999998</v>
      </c>
      <c r="BQ30" s="215">
        <v>18.670000000000002</v>
      </c>
      <c r="BR30" s="215">
        <v>15.84</v>
      </c>
      <c r="BS30" s="215">
        <v>15.45</v>
      </c>
      <c r="BT30" s="215">
        <v>15.96</v>
      </c>
      <c r="BU30" s="215">
        <v>17.59</v>
      </c>
      <c r="BV30" s="215">
        <v>17.579999999999998</v>
      </c>
      <c r="BW30" s="215">
        <v>17.3</v>
      </c>
      <c r="BX30" s="215">
        <v>17.07</v>
      </c>
      <c r="BY30" s="215">
        <v>18.41</v>
      </c>
      <c r="BZ30" s="215">
        <v>18.809999999999999</v>
      </c>
      <c r="CA30" s="215">
        <v>18.059999999999999</v>
      </c>
      <c r="CB30" s="215">
        <v>17.82</v>
      </c>
      <c r="CC30" s="215">
        <v>17.670000000000002</v>
      </c>
      <c r="CD30" s="215">
        <v>18.829999999999998</v>
      </c>
      <c r="CE30" s="215">
        <v>18.32</v>
      </c>
      <c r="CF30" s="215">
        <v>18.420000000000002</v>
      </c>
      <c r="CG30" s="215">
        <v>17.190000000000001</v>
      </c>
      <c r="CH30" s="215">
        <v>18.239999999999998</v>
      </c>
      <c r="CI30" s="215">
        <v>18.739999999999998</v>
      </c>
      <c r="CJ30" s="215">
        <v>17.66</v>
      </c>
      <c r="CK30" s="215">
        <v>19.5</v>
      </c>
      <c r="CL30" s="215">
        <v>18.98</v>
      </c>
      <c r="CM30" s="215">
        <v>19.13</v>
      </c>
      <c r="CN30" s="215">
        <v>18.100000000000001</v>
      </c>
      <c r="CO30" s="215">
        <v>19.28</v>
      </c>
      <c r="CP30" s="215">
        <v>18.059999999999999</v>
      </c>
      <c r="CQ30" s="215">
        <v>16.989999999999998</v>
      </c>
      <c r="CR30" s="215">
        <v>17.059999999999999</v>
      </c>
      <c r="CS30" s="215">
        <v>18.18</v>
      </c>
      <c r="CT30" s="215">
        <v>17.36</v>
      </c>
      <c r="CU30" s="215">
        <v>17.77</v>
      </c>
      <c r="CV30" s="215">
        <v>19.95</v>
      </c>
      <c r="CW30" s="215">
        <v>20.05</v>
      </c>
      <c r="CX30" s="215">
        <v>20.39</v>
      </c>
      <c r="CY30" s="215">
        <v>17.25</v>
      </c>
      <c r="CZ30" s="215">
        <v>17.39</v>
      </c>
      <c r="DA30" s="215">
        <v>17.63</v>
      </c>
      <c r="DB30" s="215">
        <v>16.920000000000002</v>
      </c>
      <c r="DC30" s="215">
        <v>16.62</v>
      </c>
      <c r="DD30" s="215">
        <v>16.89</v>
      </c>
      <c r="DE30" s="215">
        <v>17.100000000000001</v>
      </c>
      <c r="DF30" s="215">
        <v>17.34</v>
      </c>
      <c r="DG30" s="215">
        <v>16.920000000000002</v>
      </c>
      <c r="DH30" s="215">
        <v>16.170000000000002</v>
      </c>
      <c r="DI30" s="215">
        <v>16.329999999999998</v>
      </c>
      <c r="DJ30" s="215">
        <v>16.309999999999999</v>
      </c>
      <c r="DK30" s="215">
        <v>19.079999999999998</v>
      </c>
      <c r="DL30" s="215">
        <v>18.940000000000001</v>
      </c>
      <c r="DM30" s="215">
        <v>19.5</v>
      </c>
      <c r="DN30" s="215">
        <v>21.05</v>
      </c>
      <c r="DO30" s="215">
        <v>21.27</v>
      </c>
      <c r="DP30" s="215">
        <v>21.23</v>
      </c>
      <c r="DQ30" s="215">
        <v>24.09</v>
      </c>
      <c r="DR30" s="215">
        <v>23.18</v>
      </c>
      <c r="DS30" s="215">
        <v>22.46</v>
      </c>
      <c r="DT30" s="215">
        <v>20.09</v>
      </c>
      <c r="DU30" s="215">
        <v>20.07</v>
      </c>
      <c r="DV30" s="215">
        <v>20.49</v>
      </c>
      <c r="DW30" s="215">
        <v>21.1</v>
      </c>
      <c r="DX30" s="215">
        <v>20.7</v>
      </c>
      <c r="DY30" s="215">
        <v>21.55</v>
      </c>
      <c r="DZ30" s="215">
        <v>22.37</v>
      </c>
      <c r="EA30" s="215">
        <v>23.45</v>
      </c>
      <c r="EB30" s="215">
        <v>23.74</v>
      </c>
      <c r="EC30" s="215">
        <v>22.88</v>
      </c>
      <c r="ED30" s="215">
        <v>21.96</v>
      </c>
      <c r="EE30" s="215">
        <v>21.77</v>
      </c>
      <c r="EF30" s="215">
        <v>23.84</v>
      </c>
      <c r="EG30" s="215">
        <v>23.72</v>
      </c>
    </row>
    <row r="31" spans="1:137" x14ac:dyDescent="0.3">
      <c r="A31" s="210" t="s">
        <v>994</v>
      </c>
      <c r="B31" s="214" t="s">
        <v>205</v>
      </c>
      <c r="C31" s="215">
        <v>18.72</v>
      </c>
      <c r="D31" s="215">
        <v>18.36</v>
      </c>
      <c r="E31" s="215">
        <v>18.96</v>
      </c>
      <c r="F31" s="215">
        <v>19.079999999999998</v>
      </c>
      <c r="G31" s="215">
        <v>19.04</v>
      </c>
      <c r="H31" s="215">
        <v>18.71</v>
      </c>
      <c r="I31" s="215">
        <v>18.559999999999999</v>
      </c>
      <c r="J31" s="215">
        <v>18.29</v>
      </c>
      <c r="K31" s="215">
        <v>17.23</v>
      </c>
      <c r="L31" s="215">
        <v>18.149999999999999</v>
      </c>
      <c r="M31" s="215">
        <v>17.82</v>
      </c>
      <c r="N31" s="215">
        <v>17.079999999999998</v>
      </c>
      <c r="O31" s="215">
        <v>16.66</v>
      </c>
      <c r="P31" s="215">
        <v>17.38</v>
      </c>
      <c r="Q31" s="215">
        <v>18.82</v>
      </c>
      <c r="R31" s="215">
        <v>19.149999999999999</v>
      </c>
      <c r="S31" s="215">
        <v>20.02</v>
      </c>
      <c r="T31" s="215">
        <v>20.45</v>
      </c>
      <c r="U31" s="215">
        <v>20.93</v>
      </c>
      <c r="V31" s="215">
        <v>21.1</v>
      </c>
      <c r="W31" s="215">
        <v>21.62</v>
      </c>
      <c r="X31" s="215">
        <v>21.33</v>
      </c>
      <c r="Y31" s="215">
        <v>19.5</v>
      </c>
      <c r="Z31" s="215">
        <v>19.579999999999998</v>
      </c>
      <c r="AA31" s="215">
        <v>20.260000000000002</v>
      </c>
      <c r="AB31" s="215">
        <v>20.77</v>
      </c>
      <c r="AC31" s="215">
        <v>20.73</v>
      </c>
      <c r="AD31" s="215">
        <v>20.83</v>
      </c>
      <c r="AE31" s="215">
        <v>20.61</v>
      </c>
      <c r="AF31" s="215">
        <v>20.65</v>
      </c>
      <c r="AG31" s="215">
        <v>20.32</v>
      </c>
      <c r="AH31" s="215">
        <v>20.48</v>
      </c>
      <c r="AI31" s="215">
        <v>20.6</v>
      </c>
      <c r="AJ31" s="215">
        <v>20.71</v>
      </c>
      <c r="AK31" s="215">
        <v>21.3</v>
      </c>
      <c r="AL31" s="215">
        <v>20.3</v>
      </c>
      <c r="AM31" s="215">
        <v>18.5</v>
      </c>
      <c r="AN31" s="215">
        <v>20.059999999999999</v>
      </c>
      <c r="AO31" s="215">
        <v>21.36</v>
      </c>
      <c r="AP31" s="215">
        <v>21.63</v>
      </c>
      <c r="AQ31" s="215">
        <v>22.96</v>
      </c>
      <c r="AR31" s="215">
        <v>24.97</v>
      </c>
      <c r="AS31" s="215">
        <v>25.95</v>
      </c>
      <c r="AT31" s="215">
        <v>24.8</v>
      </c>
      <c r="AU31" s="215">
        <v>24.49</v>
      </c>
      <c r="AV31" s="215">
        <v>28.28</v>
      </c>
      <c r="AW31" s="215">
        <v>29.26</v>
      </c>
      <c r="AX31" s="215">
        <v>30.04</v>
      </c>
      <c r="AY31" s="215">
        <v>27.13</v>
      </c>
      <c r="AZ31" s="215">
        <v>25.39</v>
      </c>
      <c r="BA31" s="215">
        <v>24.09</v>
      </c>
      <c r="BB31" s="215">
        <v>24.57</v>
      </c>
      <c r="BC31" s="215">
        <v>24.09</v>
      </c>
      <c r="BD31" s="215">
        <v>24.21</v>
      </c>
      <c r="BE31" s="215">
        <v>24.84</v>
      </c>
      <c r="BF31" s="215">
        <v>27.36</v>
      </c>
      <c r="BG31" s="215">
        <v>27.96</v>
      </c>
      <c r="BH31" s="215">
        <v>25.29</v>
      </c>
      <c r="BI31" s="215">
        <v>22.82</v>
      </c>
      <c r="BJ31" s="215">
        <v>21.36</v>
      </c>
      <c r="BK31" s="215">
        <v>24.93</v>
      </c>
      <c r="BL31" s="215">
        <v>30.84</v>
      </c>
      <c r="BM31" s="215">
        <v>22.56</v>
      </c>
      <c r="BN31" s="215">
        <v>23.81</v>
      </c>
      <c r="BO31" s="215">
        <v>22.35</v>
      </c>
      <c r="BP31" s="215">
        <v>24.38</v>
      </c>
      <c r="BQ31" s="215">
        <v>22.93</v>
      </c>
      <c r="BR31" s="215">
        <v>17.059999999999999</v>
      </c>
      <c r="BS31" s="215">
        <v>15.81</v>
      </c>
      <c r="BT31" s="215">
        <v>15.81</v>
      </c>
      <c r="BU31" s="215">
        <v>19.010000000000002</v>
      </c>
      <c r="BV31" s="215">
        <v>16.11</v>
      </c>
      <c r="BW31" s="215">
        <v>17.690000000000001</v>
      </c>
      <c r="BX31" s="215">
        <v>19.260000000000002</v>
      </c>
      <c r="BY31" s="215">
        <v>19.8</v>
      </c>
      <c r="BZ31" s="215">
        <v>20.81</v>
      </c>
      <c r="CA31" s="215">
        <v>17.16</v>
      </c>
      <c r="CB31" s="215">
        <v>17.059999999999999</v>
      </c>
      <c r="CC31" s="215">
        <v>20.79</v>
      </c>
      <c r="CD31" s="215">
        <v>19.510000000000002</v>
      </c>
      <c r="CE31" s="215">
        <v>19.79</v>
      </c>
      <c r="CF31" s="215">
        <v>19.54</v>
      </c>
      <c r="CG31" s="215">
        <v>18.760000000000002</v>
      </c>
      <c r="CH31" s="215">
        <v>18.690000000000001</v>
      </c>
      <c r="CI31" s="215">
        <v>19.48</v>
      </c>
      <c r="CJ31" s="215">
        <v>20.079999999999998</v>
      </c>
      <c r="CK31" s="215">
        <v>22.04</v>
      </c>
      <c r="CL31" s="215">
        <v>22.65</v>
      </c>
      <c r="CM31" s="215">
        <v>20.95</v>
      </c>
      <c r="CN31" s="215">
        <v>20.56</v>
      </c>
      <c r="CO31" s="215">
        <v>21.02</v>
      </c>
      <c r="CP31" s="215">
        <v>20.82</v>
      </c>
      <c r="CQ31" s="215">
        <v>21.85</v>
      </c>
      <c r="CR31" s="215">
        <v>20.57</v>
      </c>
      <c r="CS31" s="215">
        <v>18.739999999999998</v>
      </c>
      <c r="CT31" s="215">
        <v>18.98</v>
      </c>
      <c r="CU31" s="215">
        <v>21.29</v>
      </c>
      <c r="CV31" s="215">
        <v>21.93</v>
      </c>
      <c r="CW31" s="215">
        <v>22.89</v>
      </c>
      <c r="CX31" s="215">
        <v>24.31</v>
      </c>
      <c r="CY31" s="215">
        <v>22.92</v>
      </c>
      <c r="CZ31" s="215">
        <v>22.75</v>
      </c>
      <c r="DA31" s="215">
        <v>22.67</v>
      </c>
      <c r="DB31" s="215">
        <v>21.35</v>
      </c>
      <c r="DC31" s="215">
        <v>21.18</v>
      </c>
      <c r="DD31" s="215">
        <v>21.81</v>
      </c>
      <c r="DE31" s="215">
        <v>24.07</v>
      </c>
      <c r="DF31" s="215">
        <v>23.92</v>
      </c>
      <c r="DG31" s="215">
        <v>23.48</v>
      </c>
      <c r="DH31" s="215">
        <v>23.26</v>
      </c>
      <c r="DI31" s="215">
        <v>22.44</v>
      </c>
      <c r="DJ31" s="215">
        <v>22.24</v>
      </c>
      <c r="DK31" s="215">
        <v>22.98</v>
      </c>
      <c r="DL31" s="215">
        <v>22.47</v>
      </c>
      <c r="DM31" s="215">
        <v>22.37</v>
      </c>
      <c r="DN31" s="215">
        <v>23.23</v>
      </c>
      <c r="DO31" s="215">
        <v>23.76</v>
      </c>
      <c r="DP31" s="215">
        <v>23.97</v>
      </c>
      <c r="DQ31" s="215">
        <v>24.93</v>
      </c>
      <c r="DR31" s="215">
        <v>24.52</v>
      </c>
      <c r="DS31" s="215">
        <v>23.93</v>
      </c>
      <c r="DT31" s="215">
        <v>24.07</v>
      </c>
      <c r="DU31" s="215">
        <v>23.26</v>
      </c>
      <c r="DV31" s="215">
        <v>23.67</v>
      </c>
      <c r="DW31" s="215">
        <v>24.02</v>
      </c>
      <c r="DX31" s="215">
        <v>24.18</v>
      </c>
      <c r="DY31" s="215">
        <v>25.88</v>
      </c>
      <c r="DZ31" s="215">
        <v>26.6</v>
      </c>
      <c r="EA31" s="215">
        <v>27.36</v>
      </c>
      <c r="EB31" s="215">
        <v>29.47</v>
      </c>
      <c r="EC31" s="215">
        <v>29.89</v>
      </c>
      <c r="ED31" s="215">
        <v>28.76</v>
      </c>
      <c r="EE31" s="215">
        <v>28.7</v>
      </c>
      <c r="EF31" s="215">
        <v>29.56</v>
      </c>
      <c r="EG31" s="215">
        <v>31.16</v>
      </c>
    </row>
    <row r="32" spans="1:137" x14ac:dyDescent="0.3">
      <c r="A32" s="210" t="s">
        <v>190</v>
      </c>
      <c r="B32" s="214" t="s">
        <v>985</v>
      </c>
      <c r="C32" s="215">
        <v>19.170000000000002</v>
      </c>
      <c r="D32" s="215">
        <v>18.87</v>
      </c>
      <c r="E32" s="215">
        <v>20.02</v>
      </c>
      <c r="F32" s="215">
        <v>19.399999999999999</v>
      </c>
      <c r="G32" s="215">
        <v>19.22</v>
      </c>
      <c r="H32" s="215">
        <v>19.170000000000002</v>
      </c>
      <c r="I32" s="215">
        <v>18.850000000000001</v>
      </c>
      <c r="J32" s="215">
        <v>18.82</v>
      </c>
      <c r="K32" s="215">
        <v>17.71</v>
      </c>
      <c r="L32" s="215">
        <v>18.52</v>
      </c>
      <c r="M32" s="215">
        <v>18.510000000000002</v>
      </c>
      <c r="N32" s="215">
        <v>17.63</v>
      </c>
      <c r="O32" s="215">
        <v>17.079999999999998</v>
      </c>
      <c r="P32" s="215">
        <v>18.57</v>
      </c>
      <c r="Q32" s="215">
        <v>19.239999999999998</v>
      </c>
      <c r="R32" s="215">
        <v>19.46</v>
      </c>
      <c r="S32" s="215">
        <v>20.43</v>
      </c>
      <c r="T32" s="215">
        <v>20.97</v>
      </c>
      <c r="U32" s="215">
        <v>21.14</v>
      </c>
      <c r="V32" s="215">
        <v>21.83</v>
      </c>
      <c r="W32" s="215">
        <v>22.12</v>
      </c>
      <c r="X32" s="215">
        <v>21.66</v>
      </c>
      <c r="Y32" s="215">
        <v>21.38</v>
      </c>
      <c r="Z32" s="215">
        <v>19.91</v>
      </c>
      <c r="AA32" s="215">
        <v>20.6</v>
      </c>
      <c r="AB32" s="215">
        <v>21.31</v>
      </c>
      <c r="AC32" s="215">
        <v>21.24</v>
      </c>
      <c r="AD32" s="215">
        <v>21.13</v>
      </c>
      <c r="AE32" s="215">
        <v>21.2</v>
      </c>
      <c r="AF32" s="215">
        <v>20.92</v>
      </c>
      <c r="AG32" s="215">
        <v>20.64</v>
      </c>
      <c r="AH32" s="215">
        <v>20.92</v>
      </c>
      <c r="AI32" s="215">
        <v>20.84</v>
      </c>
      <c r="AJ32" s="215">
        <v>21.06</v>
      </c>
      <c r="AK32" s="215">
        <v>21.56</v>
      </c>
      <c r="AL32" s="215">
        <v>21.37</v>
      </c>
      <c r="AM32" s="215">
        <v>18.850000000000001</v>
      </c>
      <c r="AN32" s="215">
        <v>20.52</v>
      </c>
      <c r="AO32" s="215">
        <v>21.95</v>
      </c>
      <c r="AP32" s="215">
        <v>21.87</v>
      </c>
      <c r="AQ32" s="215">
        <v>24.39</v>
      </c>
      <c r="AR32" s="215">
        <v>26.18</v>
      </c>
      <c r="AS32" s="215">
        <v>27.32</v>
      </c>
      <c r="AT32" s="215">
        <v>25.61</v>
      </c>
      <c r="AU32" s="215">
        <v>24.8</v>
      </c>
      <c r="AV32" s="215">
        <v>30.63</v>
      </c>
      <c r="AW32" s="215">
        <v>30.27</v>
      </c>
      <c r="AX32" s="215">
        <v>30.71</v>
      </c>
      <c r="AY32" s="215">
        <v>29.63</v>
      </c>
      <c r="AZ32" s="215">
        <v>26.15</v>
      </c>
      <c r="BA32" s="215">
        <v>24.57</v>
      </c>
      <c r="BB32" s="215">
        <v>24.99</v>
      </c>
      <c r="BC32" s="215">
        <v>24.46</v>
      </c>
      <c r="BD32" s="215">
        <v>24.63</v>
      </c>
      <c r="BE32" s="215">
        <v>25.15</v>
      </c>
      <c r="BF32" s="215">
        <v>28.04</v>
      </c>
      <c r="BG32" s="215">
        <v>28.32</v>
      </c>
      <c r="BH32" s="215">
        <v>25.57</v>
      </c>
      <c r="BI32" s="215">
        <v>24.91</v>
      </c>
      <c r="BJ32" s="215">
        <v>21.59</v>
      </c>
      <c r="BK32" s="215">
        <v>25.96</v>
      </c>
      <c r="BL32" s="215">
        <v>33.08</v>
      </c>
      <c r="BM32" s="215">
        <v>26.03</v>
      </c>
      <c r="BN32" s="215">
        <v>24.79</v>
      </c>
      <c r="BO32" s="215">
        <v>25.78</v>
      </c>
      <c r="BP32" s="215">
        <v>26.61</v>
      </c>
      <c r="BQ32" s="215">
        <v>23.67</v>
      </c>
      <c r="BR32" s="215">
        <v>23.31</v>
      </c>
      <c r="BS32" s="215">
        <v>16.13</v>
      </c>
      <c r="BT32" s="215">
        <v>16.190000000000001</v>
      </c>
      <c r="BU32" s="215">
        <v>20.14</v>
      </c>
      <c r="BV32" s="215">
        <v>19.89</v>
      </c>
      <c r="BW32" s="215">
        <v>19.329999999999998</v>
      </c>
      <c r="BX32" s="215">
        <v>20.49</v>
      </c>
      <c r="BY32" s="215">
        <v>20.37</v>
      </c>
      <c r="BZ32" s="215">
        <v>21.4</v>
      </c>
      <c r="CA32" s="215">
        <v>21.16</v>
      </c>
      <c r="CB32" s="215">
        <v>20.82</v>
      </c>
      <c r="CC32" s="215">
        <v>21.08</v>
      </c>
      <c r="CD32" s="215">
        <v>20.82</v>
      </c>
      <c r="CE32" s="215">
        <v>20.29</v>
      </c>
      <c r="CF32" s="215">
        <v>19.829999999999998</v>
      </c>
      <c r="CG32" s="215">
        <v>19.649999999999999</v>
      </c>
      <c r="CH32" s="215">
        <v>19.09</v>
      </c>
      <c r="CI32" s="215">
        <v>20.079999999999998</v>
      </c>
      <c r="CJ32" s="215">
        <v>21.84</v>
      </c>
      <c r="CK32" s="215">
        <v>22.88</v>
      </c>
      <c r="CL32" s="215">
        <v>22.99</v>
      </c>
      <c r="CM32" s="215">
        <v>22.65</v>
      </c>
      <c r="CN32" s="215">
        <v>21.61</v>
      </c>
      <c r="CO32" s="215">
        <v>22.25</v>
      </c>
      <c r="CP32" s="215">
        <v>22.22</v>
      </c>
      <c r="CQ32" s="215">
        <v>22.68</v>
      </c>
      <c r="CR32" s="215">
        <v>21.13</v>
      </c>
      <c r="CS32" s="215">
        <v>20.89</v>
      </c>
      <c r="CT32" s="215">
        <v>20.28</v>
      </c>
      <c r="CU32" s="215">
        <v>22.29</v>
      </c>
      <c r="CV32" s="215">
        <v>23.13</v>
      </c>
      <c r="CW32" s="215">
        <v>24.09</v>
      </c>
      <c r="CX32" s="215">
        <v>24.75</v>
      </c>
      <c r="CY32" s="215">
        <v>24.21</v>
      </c>
      <c r="CZ32" s="215">
        <v>23.6</v>
      </c>
      <c r="DA32" s="215">
        <v>23.17</v>
      </c>
      <c r="DB32" s="215">
        <v>22.75</v>
      </c>
      <c r="DC32" s="215">
        <v>21.53</v>
      </c>
      <c r="DD32" s="215">
        <v>23.08</v>
      </c>
      <c r="DE32" s="215">
        <v>24.62</v>
      </c>
      <c r="DF32" s="215">
        <v>24.53</v>
      </c>
      <c r="DG32" s="215">
        <v>24.25</v>
      </c>
      <c r="DH32" s="215">
        <v>23.67</v>
      </c>
      <c r="DI32" s="215">
        <v>22.79</v>
      </c>
      <c r="DJ32" s="215">
        <v>22.6</v>
      </c>
      <c r="DK32" s="215">
        <v>23.99</v>
      </c>
      <c r="DL32" s="215">
        <v>22.73</v>
      </c>
      <c r="DM32" s="215">
        <v>22.82</v>
      </c>
      <c r="DN32" s="215">
        <v>23.54</v>
      </c>
      <c r="DO32" s="215">
        <v>24</v>
      </c>
      <c r="DP32" s="215">
        <v>24.35</v>
      </c>
      <c r="DQ32" s="215">
        <v>25.53</v>
      </c>
      <c r="DR32" s="215">
        <v>25.11</v>
      </c>
      <c r="DS32" s="215">
        <v>24.91</v>
      </c>
      <c r="DT32" s="215">
        <v>26.83</v>
      </c>
      <c r="DU32" s="215">
        <v>23.56</v>
      </c>
      <c r="DV32" s="215">
        <v>24.87</v>
      </c>
      <c r="DW32" s="215">
        <v>24.91</v>
      </c>
      <c r="DX32" s="215">
        <v>26.33</v>
      </c>
      <c r="DY32" s="215">
        <v>26.6</v>
      </c>
      <c r="DZ32" s="215">
        <v>27.1</v>
      </c>
      <c r="EA32" s="215">
        <v>28.1</v>
      </c>
      <c r="EB32" s="215">
        <v>30.41</v>
      </c>
      <c r="EC32" s="215">
        <v>30.41</v>
      </c>
      <c r="ED32" s="215">
        <v>29.2</v>
      </c>
      <c r="EE32" s="215">
        <v>29.51</v>
      </c>
      <c r="EF32" s="215">
        <v>32.65</v>
      </c>
      <c r="EG32" s="215">
        <v>31.2</v>
      </c>
    </row>
    <row r="33" spans="1:137" x14ac:dyDescent="0.3">
      <c r="A33" s="210" t="s">
        <v>986</v>
      </c>
      <c r="B33" s="214" t="s">
        <v>987</v>
      </c>
      <c r="C33" s="215">
        <v>18.260000000000002</v>
      </c>
      <c r="D33" s="215">
        <v>17.96</v>
      </c>
      <c r="E33" s="215">
        <v>17.920000000000002</v>
      </c>
      <c r="F33" s="215">
        <v>18.739999999999998</v>
      </c>
      <c r="G33" s="215">
        <v>18.78</v>
      </c>
      <c r="H33" s="215">
        <v>18.28</v>
      </c>
      <c r="I33" s="215">
        <v>18.27</v>
      </c>
      <c r="J33" s="215">
        <v>17.489999999999998</v>
      </c>
      <c r="K33" s="215">
        <v>16.95</v>
      </c>
      <c r="L33" s="215">
        <v>17.670000000000002</v>
      </c>
      <c r="M33" s="215">
        <v>17.48</v>
      </c>
      <c r="N33" s="215">
        <v>16.66</v>
      </c>
      <c r="O33" s="215">
        <v>16.13</v>
      </c>
      <c r="P33" s="215">
        <v>16.940000000000001</v>
      </c>
      <c r="Q33" s="215">
        <v>18.350000000000001</v>
      </c>
      <c r="R33" s="215">
        <v>18.82</v>
      </c>
      <c r="S33" s="215">
        <v>19.079999999999998</v>
      </c>
      <c r="T33" s="215">
        <v>20.05</v>
      </c>
      <c r="U33" s="215">
        <v>20.77</v>
      </c>
      <c r="V33" s="215">
        <v>19.59</v>
      </c>
      <c r="W33" s="215">
        <v>21.08</v>
      </c>
      <c r="X33" s="215">
        <v>21.1</v>
      </c>
      <c r="Y33" s="215">
        <v>18.86</v>
      </c>
      <c r="Z33" s="215">
        <v>19.3</v>
      </c>
      <c r="AA33" s="215">
        <v>19.579999999999998</v>
      </c>
      <c r="AB33" s="215">
        <v>20.32</v>
      </c>
      <c r="AC33" s="215">
        <v>20.440000000000001</v>
      </c>
      <c r="AD33" s="215">
        <v>20.55</v>
      </c>
      <c r="AE33" s="215">
        <v>20.170000000000002</v>
      </c>
      <c r="AF33" s="215">
        <v>20.41</v>
      </c>
      <c r="AG33" s="215">
        <v>20.170000000000002</v>
      </c>
      <c r="AH33" s="215">
        <v>20.149999999999999</v>
      </c>
      <c r="AI33" s="215">
        <v>20.260000000000002</v>
      </c>
      <c r="AJ33" s="215">
        <v>20.49</v>
      </c>
      <c r="AK33" s="215">
        <v>20.97</v>
      </c>
      <c r="AL33" s="215">
        <v>19.18</v>
      </c>
      <c r="AM33" s="215">
        <v>18.05</v>
      </c>
      <c r="AN33" s="215">
        <v>18.25</v>
      </c>
      <c r="AO33" s="215">
        <v>20.04</v>
      </c>
      <c r="AP33" s="215">
        <v>21.34</v>
      </c>
      <c r="AQ33" s="215">
        <v>21.55</v>
      </c>
      <c r="AR33" s="215">
        <v>23.23</v>
      </c>
      <c r="AS33" s="215">
        <v>25.25</v>
      </c>
      <c r="AT33" s="215">
        <v>23.91</v>
      </c>
      <c r="AU33" s="215">
        <v>23.95</v>
      </c>
      <c r="AV33" s="215">
        <v>24.25</v>
      </c>
      <c r="AW33" s="215">
        <v>24.88</v>
      </c>
      <c r="AX33" s="215">
        <v>29.2</v>
      </c>
      <c r="AY33" s="215">
        <v>25.36</v>
      </c>
      <c r="AZ33" s="215">
        <v>23.13</v>
      </c>
      <c r="BA33" s="215">
        <v>23.4</v>
      </c>
      <c r="BB33" s="215">
        <v>24.11</v>
      </c>
      <c r="BC33" s="215">
        <v>23.14</v>
      </c>
      <c r="BD33" s="215">
        <v>23.7</v>
      </c>
      <c r="BE33" s="215">
        <v>24.47</v>
      </c>
      <c r="BF33" s="215">
        <v>24.12</v>
      </c>
      <c r="BG33" s="215">
        <v>25.62</v>
      </c>
      <c r="BH33" s="215">
        <v>24.77</v>
      </c>
      <c r="BI33" s="215">
        <v>21.12</v>
      </c>
      <c r="BJ33" s="215">
        <v>21.07</v>
      </c>
      <c r="BK33" s="215">
        <v>21.23</v>
      </c>
      <c r="BL33" s="215">
        <v>25.2</v>
      </c>
      <c r="BM33" s="215">
        <v>19.37</v>
      </c>
      <c r="BN33" s="215">
        <v>21.44</v>
      </c>
      <c r="BO33" s="215">
        <v>20.8</v>
      </c>
      <c r="BP33" s="215">
        <v>22.38</v>
      </c>
      <c r="BQ33" s="215">
        <v>22.14</v>
      </c>
      <c r="BR33" s="215">
        <v>15.65</v>
      </c>
      <c r="BS33" s="215">
        <v>15.49</v>
      </c>
      <c r="BT33" s="215">
        <v>15.33</v>
      </c>
      <c r="BU33" s="215">
        <v>15.49</v>
      </c>
      <c r="BV33" s="215">
        <v>15.57</v>
      </c>
      <c r="BW33" s="215">
        <v>15.05</v>
      </c>
      <c r="BX33" s="215">
        <v>18.82</v>
      </c>
      <c r="BY33" s="215">
        <v>18.63</v>
      </c>
      <c r="BZ33" s="215">
        <v>20.18</v>
      </c>
      <c r="CA33" s="215">
        <v>16.39</v>
      </c>
      <c r="CB33" s="215">
        <v>15.69</v>
      </c>
      <c r="CC33" s="215">
        <v>20.41</v>
      </c>
      <c r="CD33" s="215">
        <v>18.52</v>
      </c>
      <c r="CE33" s="215">
        <v>19.05</v>
      </c>
      <c r="CF33" s="215">
        <v>19.13</v>
      </c>
      <c r="CG33" s="215">
        <v>18</v>
      </c>
      <c r="CH33" s="215">
        <v>17.98</v>
      </c>
      <c r="CI33" s="215">
        <v>18.86</v>
      </c>
      <c r="CJ33" s="215">
        <v>19.77</v>
      </c>
      <c r="CK33" s="215">
        <v>20.59</v>
      </c>
      <c r="CL33" s="215">
        <v>22.25</v>
      </c>
      <c r="CM33" s="215">
        <v>19.760000000000002</v>
      </c>
      <c r="CN33" s="215">
        <v>19.52</v>
      </c>
      <c r="CO33" s="215">
        <v>20.16</v>
      </c>
      <c r="CP33" s="215">
        <v>20.2</v>
      </c>
      <c r="CQ33" s="215">
        <v>20.46</v>
      </c>
      <c r="CR33" s="215">
        <v>20.09</v>
      </c>
      <c r="CS33" s="215">
        <v>17.86</v>
      </c>
      <c r="CT33" s="215">
        <v>18.36</v>
      </c>
      <c r="CU33" s="215">
        <v>19.87</v>
      </c>
      <c r="CV33" s="215">
        <v>21.51</v>
      </c>
      <c r="CW33" s="215">
        <v>22.16</v>
      </c>
      <c r="CX33" s="215">
        <v>23.94</v>
      </c>
      <c r="CY33" s="215">
        <v>22.2</v>
      </c>
      <c r="CZ33" s="215">
        <v>22.15</v>
      </c>
      <c r="DA33" s="215">
        <v>22.18</v>
      </c>
      <c r="DB33" s="215">
        <v>20.9</v>
      </c>
      <c r="DC33" s="215">
        <v>20.56</v>
      </c>
      <c r="DD33" s="215">
        <v>20.14</v>
      </c>
      <c r="DE33" s="215">
        <v>21.38</v>
      </c>
      <c r="DF33" s="215">
        <v>23.55</v>
      </c>
      <c r="DG33" s="215">
        <v>22.41</v>
      </c>
      <c r="DH33" s="215">
        <v>22.74</v>
      </c>
      <c r="DI33" s="215">
        <v>22.15</v>
      </c>
      <c r="DJ33" s="215">
        <v>21.69</v>
      </c>
      <c r="DK33" s="215">
        <v>22.09</v>
      </c>
      <c r="DL33" s="215">
        <v>22.19</v>
      </c>
      <c r="DM33" s="215">
        <v>22.04</v>
      </c>
      <c r="DN33" s="215">
        <v>22.58</v>
      </c>
      <c r="DO33" s="215">
        <v>23.41</v>
      </c>
      <c r="DP33" s="215">
        <v>23.59</v>
      </c>
      <c r="DQ33" s="215">
        <v>23.49</v>
      </c>
      <c r="DR33" s="215">
        <v>23.99</v>
      </c>
      <c r="DS33" s="215">
        <v>22.69</v>
      </c>
      <c r="DT33" s="215">
        <v>23.32</v>
      </c>
      <c r="DU33" s="215">
        <v>22.87</v>
      </c>
      <c r="DV33" s="215">
        <v>22.26</v>
      </c>
      <c r="DW33" s="215">
        <v>23.38</v>
      </c>
      <c r="DX33" s="215">
        <v>23.21</v>
      </c>
      <c r="DY33" s="215">
        <v>24.95</v>
      </c>
      <c r="DZ33" s="215">
        <v>25.36</v>
      </c>
      <c r="EA33" s="215">
        <v>26.49</v>
      </c>
      <c r="EB33" s="215">
        <v>27.97</v>
      </c>
      <c r="EC33" s="215">
        <v>28.9</v>
      </c>
      <c r="ED33" s="215">
        <v>28.39</v>
      </c>
      <c r="EE33" s="215">
        <v>28.23</v>
      </c>
      <c r="EF33" s="215">
        <v>28.33</v>
      </c>
      <c r="EG33" s="215">
        <v>31.14</v>
      </c>
    </row>
    <row r="34" spans="1:137" x14ac:dyDescent="0.3">
      <c r="A34" s="210" t="s">
        <v>988</v>
      </c>
      <c r="B34" s="214" t="s">
        <v>989</v>
      </c>
      <c r="C34" s="215">
        <v>18.66</v>
      </c>
      <c r="D34" s="215">
        <v>18.04</v>
      </c>
      <c r="E34" s="215">
        <v>19.23</v>
      </c>
      <c r="F34" s="215">
        <v>18.89</v>
      </c>
      <c r="G34" s="215">
        <v>19.16</v>
      </c>
      <c r="H34" s="215">
        <v>18.28</v>
      </c>
      <c r="I34" s="215">
        <v>18.71</v>
      </c>
      <c r="J34" s="215">
        <v>17.489999999999998</v>
      </c>
      <c r="K34" s="215">
        <v>17.71</v>
      </c>
      <c r="L34" s="215">
        <v>18.36</v>
      </c>
      <c r="M34" s="215">
        <v>17.54</v>
      </c>
      <c r="N34" s="215">
        <v>16.96</v>
      </c>
      <c r="O34" s="215">
        <v>17.079999999999998</v>
      </c>
      <c r="P34" s="215">
        <v>18.57</v>
      </c>
      <c r="Q34" s="215">
        <v>19.239999999999998</v>
      </c>
      <c r="R34" s="215">
        <v>19.149999999999999</v>
      </c>
      <c r="S34" s="215">
        <v>20.420000000000002</v>
      </c>
      <c r="T34" s="215">
        <v>20.97</v>
      </c>
      <c r="U34" s="215">
        <v>20.91</v>
      </c>
      <c r="V34" s="215">
        <v>21.35</v>
      </c>
      <c r="W34" s="215">
        <v>21.67</v>
      </c>
      <c r="X34" s="215">
        <v>21.66</v>
      </c>
      <c r="Y34" s="215">
        <v>19.43</v>
      </c>
      <c r="Z34" s="215">
        <v>19.53</v>
      </c>
      <c r="AA34" s="215">
        <v>20.43</v>
      </c>
      <c r="AB34" s="215">
        <v>21.31</v>
      </c>
      <c r="AC34" s="215">
        <v>20.71</v>
      </c>
      <c r="AD34" s="215">
        <v>21.06</v>
      </c>
      <c r="AE34" s="215">
        <v>20.81</v>
      </c>
      <c r="AF34" s="215">
        <v>20.41</v>
      </c>
      <c r="AG34" s="215">
        <v>20.29</v>
      </c>
      <c r="AH34" s="215">
        <v>20.79</v>
      </c>
      <c r="AI34" s="215">
        <v>20.72</v>
      </c>
      <c r="AJ34" s="215">
        <v>21.06</v>
      </c>
      <c r="AK34" s="215">
        <v>21.43</v>
      </c>
      <c r="AL34" s="215">
        <v>19.18</v>
      </c>
      <c r="AM34" s="215">
        <v>18.3</v>
      </c>
      <c r="AN34" s="215">
        <v>20.18</v>
      </c>
      <c r="AO34" s="215">
        <v>21.73</v>
      </c>
      <c r="AP34" s="215">
        <v>21.62</v>
      </c>
      <c r="AQ34" s="215">
        <v>23.85</v>
      </c>
      <c r="AR34" s="215">
        <v>26.15</v>
      </c>
      <c r="AS34" s="215">
        <v>25.48</v>
      </c>
      <c r="AT34" s="215">
        <v>24.5</v>
      </c>
      <c r="AU34" s="215">
        <v>24.24</v>
      </c>
      <c r="AV34" s="215">
        <v>29.76</v>
      </c>
      <c r="AW34" s="215">
        <v>30.27</v>
      </c>
      <c r="AX34" s="215">
        <v>29.33</v>
      </c>
      <c r="AY34" s="215">
        <v>25.83</v>
      </c>
      <c r="AZ34" s="215">
        <v>23.34</v>
      </c>
      <c r="BA34" s="215">
        <v>24.57</v>
      </c>
      <c r="BB34" s="215">
        <v>24.37</v>
      </c>
      <c r="BC34" s="215">
        <v>24.02</v>
      </c>
      <c r="BD34" s="215">
        <v>24.55</v>
      </c>
      <c r="BE34" s="215">
        <v>24.57</v>
      </c>
      <c r="BF34" s="215">
        <v>27.97</v>
      </c>
      <c r="BG34" s="215">
        <v>25.62</v>
      </c>
      <c r="BH34" s="215">
        <v>25.09</v>
      </c>
      <c r="BI34" s="215">
        <v>21.19</v>
      </c>
      <c r="BJ34" s="215">
        <v>21.54</v>
      </c>
      <c r="BK34" s="215">
        <v>25.92</v>
      </c>
      <c r="BL34" s="215">
        <v>25.2</v>
      </c>
      <c r="BM34" s="215">
        <v>22.4</v>
      </c>
      <c r="BN34" s="215">
        <v>24.01</v>
      </c>
      <c r="BO34" s="215">
        <v>25.66</v>
      </c>
      <c r="BP34" s="215">
        <v>22.86</v>
      </c>
      <c r="BQ34" s="215">
        <v>23.25</v>
      </c>
      <c r="BR34" s="215">
        <v>16.07</v>
      </c>
      <c r="BS34" s="215">
        <v>15.78</v>
      </c>
      <c r="BT34" s="215">
        <v>15.33</v>
      </c>
      <c r="BU34" s="215">
        <v>19.54</v>
      </c>
      <c r="BV34" s="215">
        <v>15.69</v>
      </c>
      <c r="BW34" s="215">
        <v>19.13</v>
      </c>
      <c r="BX34" s="215">
        <v>18.82</v>
      </c>
      <c r="BY34" s="215">
        <v>20.25</v>
      </c>
      <c r="BZ34" s="215">
        <v>21.02</v>
      </c>
      <c r="CA34" s="215">
        <v>16.41</v>
      </c>
      <c r="CB34" s="215">
        <v>20.82</v>
      </c>
      <c r="CC34" s="215">
        <v>20.7</v>
      </c>
      <c r="CD34" s="215">
        <v>19.46</v>
      </c>
      <c r="CE34" s="215">
        <v>19.32</v>
      </c>
      <c r="CF34" s="215">
        <v>19.53</v>
      </c>
      <c r="CG34" s="215">
        <v>18</v>
      </c>
      <c r="CH34" s="215">
        <v>19.09</v>
      </c>
      <c r="CI34" s="215">
        <v>20.079999999999998</v>
      </c>
      <c r="CJ34" s="215">
        <v>21.84</v>
      </c>
      <c r="CK34" s="215">
        <v>22.53</v>
      </c>
      <c r="CL34" s="215">
        <v>22.42</v>
      </c>
      <c r="CM34" s="215">
        <v>21.62</v>
      </c>
      <c r="CN34" s="215">
        <v>20.45</v>
      </c>
      <c r="CO34" s="215">
        <v>22.25</v>
      </c>
      <c r="CP34" s="215">
        <v>21.76</v>
      </c>
      <c r="CQ34" s="215">
        <v>20.46</v>
      </c>
      <c r="CR34" s="215">
        <v>20.85</v>
      </c>
      <c r="CS34" s="215">
        <v>19.059999999999999</v>
      </c>
      <c r="CT34" s="215">
        <v>19.93</v>
      </c>
      <c r="CU34" s="215">
        <v>22.17</v>
      </c>
      <c r="CV34" s="215">
        <v>23.13</v>
      </c>
      <c r="CW34" s="215">
        <v>24.09</v>
      </c>
      <c r="CX34" s="215">
        <v>24.12</v>
      </c>
      <c r="CY34" s="215">
        <v>22.58</v>
      </c>
      <c r="CZ34" s="215">
        <v>22.31</v>
      </c>
      <c r="DA34" s="215">
        <v>22.91</v>
      </c>
      <c r="DB34" s="215">
        <v>21.14</v>
      </c>
      <c r="DC34" s="215">
        <v>20.61</v>
      </c>
      <c r="DD34" s="215">
        <v>22.92</v>
      </c>
      <c r="DE34" s="215">
        <v>24.46</v>
      </c>
      <c r="DF34" s="215">
        <v>23.84</v>
      </c>
      <c r="DG34" s="215">
        <v>23.52</v>
      </c>
      <c r="DH34" s="215">
        <v>22.74</v>
      </c>
      <c r="DI34" s="215">
        <v>22.6</v>
      </c>
      <c r="DJ34" s="215">
        <v>22.04</v>
      </c>
      <c r="DK34" s="215">
        <v>22.71</v>
      </c>
      <c r="DL34" s="215">
        <v>22.21</v>
      </c>
      <c r="DM34" s="215">
        <v>22.8</v>
      </c>
      <c r="DN34" s="215">
        <v>23.54</v>
      </c>
      <c r="DO34" s="215">
        <v>23.94</v>
      </c>
      <c r="DP34" s="215">
        <v>23.91</v>
      </c>
      <c r="DQ34" s="215">
        <v>25.36</v>
      </c>
      <c r="DR34" s="215">
        <v>24.41</v>
      </c>
      <c r="DS34" s="215">
        <v>23.87</v>
      </c>
      <c r="DT34" s="215">
        <v>23.49</v>
      </c>
      <c r="DU34" s="215">
        <v>23.56</v>
      </c>
      <c r="DV34" s="215">
        <v>24.63</v>
      </c>
      <c r="DW34" s="215">
        <v>24</v>
      </c>
      <c r="DX34" s="215">
        <v>26.27</v>
      </c>
      <c r="DY34" s="215">
        <v>26.02</v>
      </c>
      <c r="DZ34" s="215">
        <v>27.04</v>
      </c>
      <c r="EA34" s="215">
        <v>28.1</v>
      </c>
      <c r="EB34" s="215">
        <v>29.67</v>
      </c>
      <c r="EC34" s="215">
        <v>29.81</v>
      </c>
      <c r="ED34" s="215">
        <v>28.71</v>
      </c>
      <c r="EE34" s="215">
        <v>28.48</v>
      </c>
      <c r="EF34" s="215">
        <v>32.65</v>
      </c>
      <c r="EG34" s="215">
        <v>31.15</v>
      </c>
    </row>
    <row r="35" spans="1:137" x14ac:dyDescent="0.3">
      <c r="A35" s="210" t="s">
        <v>995</v>
      </c>
      <c r="B35" s="214" t="s">
        <v>205</v>
      </c>
      <c r="C35" s="215">
        <v>24.62</v>
      </c>
      <c r="D35" s="215">
        <v>23.93</v>
      </c>
      <c r="E35" s="215">
        <v>23.51</v>
      </c>
      <c r="F35" s="215">
        <v>23.41</v>
      </c>
      <c r="G35" s="215">
        <v>20.09</v>
      </c>
      <c r="H35" s="215">
        <v>19.14</v>
      </c>
      <c r="I35" s="215">
        <v>18.78</v>
      </c>
      <c r="J35" s="215">
        <v>18.59</v>
      </c>
      <c r="K35" s="215">
        <v>16.920000000000002</v>
      </c>
      <c r="L35" s="215">
        <v>18.32</v>
      </c>
      <c r="M35" s="215">
        <v>19.82</v>
      </c>
      <c r="N35" s="215">
        <v>18.690000000000001</v>
      </c>
      <c r="O35" s="215">
        <v>17.98</v>
      </c>
      <c r="P35" s="215">
        <v>18.809999999999999</v>
      </c>
      <c r="Q35" s="215">
        <v>18.739999999999998</v>
      </c>
      <c r="R35" s="215">
        <v>19.239999999999998</v>
      </c>
      <c r="S35" s="215">
        <v>21.16</v>
      </c>
      <c r="T35" s="215">
        <v>22.4</v>
      </c>
      <c r="U35" s="215">
        <v>23.06</v>
      </c>
      <c r="V35" s="215">
        <v>27.42</v>
      </c>
      <c r="W35" s="215">
        <v>28.2</v>
      </c>
      <c r="X35" s="215">
        <v>27.59</v>
      </c>
      <c r="Y35" s="215">
        <v>18.93</v>
      </c>
      <c r="Z35" s="215">
        <v>18.75</v>
      </c>
      <c r="AA35" s="215">
        <v>18.940000000000001</v>
      </c>
      <c r="AB35" s="215">
        <v>19.52</v>
      </c>
      <c r="AC35" s="215">
        <v>20.22</v>
      </c>
      <c r="AD35" s="215">
        <v>20.440000000000001</v>
      </c>
      <c r="AE35" s="215">
        <v>19.68</v>
      </c>
      <c r="AF35" s="215">
        <v>19.79</v>
      </c>
      <c r="AG35" s="215">
        <v>19.329999999999998</v>
      </c>
      <c r="AH35" s="215">
        <v>17.690000000000001</v>
      </c>
      <c r="AI35" s="215">
        <v>17.350000000000001</v>
      </c>
      <c r="AJ35" s="215">
        <v>17.71</v>
      </c>
      <c r="AK35" s="215">
        <v>26.53</v>
      </c>
      <c r="AL35" s="215">
        <v>25.14</v>
      </c>
      <c r="AM35" s="215">
        <v>23.6</v>
      </c>
      <c r="AN35" s="215">
        <v>32.479999999999997</v>
      </c>
      <c r="AO35" s="215">
        <v>109.21</v>
      </c>
      <c r="AP35" s="215">
        <v>109.68</v>
      </c>
      <c r="AQ35" s="215">
        <v>158.1</v>
      </c>
      <c r="AR35" s="215">
        <v>178.05</v>
      </c>
      <c r="AS35" s="215">
        <v>185.22</v>
      </c>
      <c r="AT35" s="215">
        <v>185.75</v>
      </c>
      <c r="AU35" s="214" t="s">
        <v>996</v>
      </c>
      <c r="AV35" s="214" t="s">
        <v>996</v>
      </c>
      <c r="AW35" s="214" t="s">
        <v>996</v>
      </c>
      <c r="AX35" s="214" t="s">
        <v>996</v>
      </c>
      <c r="AY35" s="214" t="s">
        <v>996</v>
      </c>
      <c r="AZ35" s="215">
        <v>35.06</v>
      </c>
      <c r="BA35" s="215">
        <v>36.22</v>
      </c>
      <c r="BB35" s="215">
        <v>37.25</v>
      </c>
      <c r="BC35" s="215">
        <v>33.65</v>
      </c>
      <c r="BD35" s="215">
        <v>34.450000000000003</v>
      </c>
      <c r="BE35" s="215">
        <v>35.06</v>
      </c>
      <c r="BF35" s="215">
        <v>20.14</v>
      </c>
      <c r="BG35" s="215">
        <v>20.09</v>
      </c>
      <c r="BH35" s="215">
        <v>20.43</v>
      </c>
      <c r="BI35" s="215">
        <v>17.649999999999999</v>
      </c>
      <c r="BJ35" s="215">
        <v>18.09</v>
      </c>
      <c r="BK35" s="215">
        <v>18.73</v>
      </c>
      <c r="BL35" s="215">
        <v>19.57</v>
      </c>
      <c r="BM35" s="215">
        <v>19.579999999999998</v>
      </c>
      <c r="BN35" s="215">
        <v>20.18</v>
      </c>
      <c r="BO35" s="215">
        <v>18.72</v>
      </c>
      <c r="BP35" s="215">
        <v>18.79</v>
      </c>
      <c r="BQ35" s="215">
        <v>18.52</v>
      </c>
      <c r="BR35" s="215">
        <v>17.95</v>
      </c>
      <c r="BS35" s="215">
        <v>16.59</v>
      </c>
      <c r="BT35" s="215">
        <v>17.670000000000002</v>
      </c>
      <c r="BU35" s="215">
        <v>20.059999999999999</v>
      </c>
      <c r="BV35" s="215">
        <v>19.96</v>
      </c>
      <c r="BW35" s="215">
        <v>18.98</v>
      </c>
      <c r="BX35" s="215">
        <v>19.23</v>
      </c>
      <c r="BY35" s="215">
        <v>19.34</v>
      </c>
      <c r="BZ35" s="215">
        <v>20.73</v>
      </c>
      <c r="CA35" s="215">
        <v>19.440000000000001</v>
      </c>
      <c r="CB35" s="215">
        <v>19.399999999999999</v>
      </c>
      <c r="CC35" s="215">
        <v>18.61</v>
      </c>
      <c r="CD35" s="215">
        <v>19.32</v>
      </c>
      <c r="CE35" s="215">
        <v>19.36</v>
      </c>
      <c r="CF35" s="215">
        <v>18.809999999999999</v>
      </c>
      <c r="CG35" s="215">
        <v>32.39</v>
      </c>
      <c r="CH35" s="215">
        <v>36.56</v>
      </c>
      <c r="CI35" s="215">
        <v>38.909999999999997</v>
      </c>
      <c r="CJ35" s="215">
        <v>38.64</v>
      </c>
      <c r="CK35" s="215">
        <v>39.04</v>
      </c>
      <c r="CL35" s="215">
        <v>41.91</v>
      </c>
      <c r="CM35" s="215">
        <v>50.45</v>
      </c>
      <c r="CN35" s="215">
        <v>48.62</v>
      </c>
      <c r="CO35" s="215">
        <v>48.96</v>
      </c>
      <c r="CP35" s="215">
        <v>47.65</v>
      </c>
      <c r="CQ35" s="215">
        <v>46.82</v>
      </c>
      <c r="CR35" s="215">
        <v>41.48</v>
      </c>
      <c r="CS35" s="215">
        <v>24.01</v>
      </c>
      <c r="CT35" s="215">
        <v>22.53</v>
      </c>
      <c r="CU35" s="215">
        <v>22.22</v>
      </c>
      <c r="CV35" s="215">
        <v>22.03</v>
      </c>
      <c r="CW35" s="215">
        <v>22.17</v>
      </c>
      <c r="CX35" s="215">
        <v>23.41</v>
      </c>
      <c r="CY35" s="215">
        <v>19.75</v>
      </c>
      <c r="CZ35" s="215">
        <v>18.87</v>
      </c>
      <c r="DA35" s="215">
        <v>19.059999999999999</v>
      </c>
      <c r="DB35" s="215">
        <v>18.13</v>
      </c>
      <c r="DC35" s="215">
        <v>18.02</v>
      </c>
      <c r="DD35" s="215">
        <v>17.440000000000001</v>
      </c>
      <c r="DE35" s="215">
        <v>16.829999999999998</v>
      </c>
      <c r="DF35" s="215">
        <v>17.12</v>
      </c>
      <c r="DG35" s="215">
        <v>17.07</v>
      </c>
      <c r="DH35" s="215">
        <v>16.11</v>
      </c>
      <c r="DI35" s="215">
        <v>14.73</v>
      </c>
      <c r="DJ35" s="215">
        <v>14.7</v>
      </c>
      <c r="DK35" s="215">
        <v>16.600000000000001</v>
      </c>
      <c r="DL35" s="215">
        <v>16.77</v>
      </c>
      <c r="DM35" s="215">
        <v>17.079999999999998</v>
      </c>
      <c r="DN35" s="215">
        <v>17.2</v>
      </c>
      <c r="DO35" s="215">
        <v>17.71</v>
      </c>
      <c r="DP35" s="215">
        <v>17.899999999999999</v>
      </c>
      <c r="DQ35" s="215">
        <v>19.940000000000001</v>
      </c>
      <c r="DR35" s="215">
        <v>19.48</v>
      </c>
      <c r="DS35" s="215">
        <v>18.27</v>
      </c>
      <c r="DT35" s="215">
        <v>17.989999999999998</v>
      </c>
      <c r="DU35" s="215">
        <v>15.86</v>
      </c>
      <c r="DV35" s="215">
        <v>15.99</v>
      </c>
      <c r="DW35" s="215">
        <v>16.93</v>
      </c>
      <c r="DX35" s="215">
        <v>16.59</v>
      </c>
      <c r="DY35" s="215">
        <v>16.97</v>
      </c>
      <c r="DZ35" s="215">
        <v>19.47</v>
      </c>
      <c r="EA35" s="215">
        <v>20.309999999999999</v>
      </c>
      <c r="EB35" s="215">
        <v>22.23</v>
      </c>
      <c r="EC35" s="215">
        <v>27.89</v>
      </c>
      <c r="ED35" s="215">
        <v>27.37</v>
      </c>
      <c r="EE35" s="215">
        <v>27.16</v>
      </c>
      <c r="EF35" s="215">
        <v>28.68</v>
      </c>
      <c r="EG35" s="215">
        <v>34.72</v>
      </c>
    </row>
    <row r="36" spans="1:137" x14ac:dyDescent="0.3">
      <c r="A36" s="210" t="s">
        <v>190</v>
      </c>
      <c r="B36" s="214" t="s">
        <v>985</v>
      </c>
      <c r="C36" s="215">
        <v>25.19</v>
      </c>
      <c r="D36" s="215">
        <v>24.91</v>
      </c>
      <c r="E36" s="215">
        <v>24.26</v>
      </c>
      <c r="F36" s="215">
        <v>23.86</v>
      </c>
      <c r="G36" s="215">
        <v>23.29</v>
      </c>
      <c r="H36" s="215">
        <v>20</v>
      </c>
      <c r="I36" s="215">
        <v>19.309999999999999</v>
      </c>
      <c r="J36" s="215">
        <v>19.46</v>
      </c>
      <c r="K36" s="215">
        <v>17.690000000000001</v>
      </c>
      <c r="L36" s="215">
        <v>18.75</v>
      </c>
      <c r="M36" s="215">
        <v>20.73</v>
      </c>
      <c r="N36" s="215">
        <v>19.66</v>
      </c>
      <c r="O36" s="215">
        <v>18.61</v>
      </c>
      <c r="P36" s="215">
        <v>19.43</v>
      </c>
      <c r="Q36" s="215">
        <v>19.39</v>
      </c>
      <c r="R36" s="215">
        <v>19.72</v>
      </c>
      <c r="S36" s="215">
        <v>21.86</v>
      </c>
      <c r="T36" s="215">
        <v>23.27</v>
      </c>
      <c r="U36" s="215">
        <v>23.37</v>
      </c>
      <c r="V36" s="215">
        <v>29.13</v>
      </c>
      <c r="W36" s="215">
        <v>29.26</v>
      </c>
      <c r="X36" s="215">
        <v>28.29</v>
      </c>
      <c r="Y36" s="215">
        <v>27.69</v>
      </c>
      <c r="Z36" s="215">
        <v>19.29</v>
      </c>
      <c r="AA36" s="215">
        <v>19.25</v>
      </c>
      <c r="AB36" s="215">
        <v>20.239999999999998</v>
      </c>
      <c r="AC36" s="215">
        <v>20.6</v>
      </c>
      <c r="AD36" s="215">
        <v>20.81</v>
      </c>
      <c r="AE36" s="215">
        <v>20.54</v>
      </c>
      <c r="AF36" s="215">
        <v>20.22</v>
      </c>
      <c r="AG36" s="215">
        <v>19.77</v>
      </c>
      <c r="AH36" s="215">
        <v>19.96</v>
      </c>
      <c r="AI36" s="215">
        <v>17.760000000000002</v>
      </c>
      <c r="AJ36" s="215">
        <v>26.02</v>
      </c>
      <c r="AK36" s="215">
        <v>27.07</v>
      </c>
      <c r="AL36" s="215">
        <v>26.68</v>
      </c>
      <c r="AM36" s="215">
        <v>24.02</v>
      </c>
      <c r="AN36" s="215">
        <v>108.95</v>
      </c>
      <c r="AO36" s="215">
        <v>111.9</v>
      </c>
      <c r="AP36" s="215">
        <v>111.49</v>
      </c>
      <c r="AQ36" s="215">
        <v>177.37</v>
      </c>
      <c r="AR36" s="215">
        <v>187.8</v>
      </c>
      <c r="AS36" s="215">
        <v>188.75</v>
      </c>
      <c r="AT36" s="215">
        <v>187.16</v>
      </c>
      <c r="AU36" s="214" t="s">
        <v>996</v>
      </c>
      <c r="AV36" s="214" t="s">
        <v>996</v>
      </c>
      <c r="AW36" s="214" t="s">
        <v>996</v>
      </c>
      <c r="AX36" s="214" t="s">
        <v>996</v>
      </c>
      <c r="AY36" s="214" t="s">
        <v>996</v>
      </c>
      <c r="AZ36" s="215">
        <v>35.22</v>
      </c>
      <c r="BA36" s="215">
        <v>36.86</v>
      </c>
      <c r="BB36" s="215">
        <v>37.97</v>
      </c>
      <c r="BC36" s="215">
        <v>37.270000000000003</v>
      </c>
      <c r="BD36" s="215">
        <v>35.54</v>
      </c>
      <c r="BE36" s="215">
        <v>35.58</v>
      </c>
      <c r="BF36" s="215">
        <v>34.19</v>
      </c>
      <c r="BG36" s="215">
        <v>20.76</v>
      </c>
      <c r="BH36" s="215">
        <v>20.82</v>
      </c>
      <c r="BI36" s="215">
        <v>17.91</v>
      </c>
      <c r="BJ36" s="215">
        <v>18.420000000000002</v>
      </c>
      <c r="BK36" s="215">
        <v>19.52</v>
      </c>
      <c r="BL36" s="215">
        <v>23.56</v>
      </c>
      <c r="BM36" s="215">
        <v>24.63</v>
      </c>
      <c r="BN36" s="215">
        <v>21.75</v>
      </c>
      <c r="BO36" s="215">
        <v>19.98</v>
      </c>
      <c r="BP36" s="215">
        <v>20.38</v>
      </c>
      <c r="BQ36" s="215">
        <v>19.329999999999998</v>
      </c>
      <c r="BR36" s="215">
        <v>18.899999999999999</v>
      </c>
      <c r="BS36" s="215">
        <v>17.36</v>
      </c>
      <c r="BT36" s="215">
        <v>18.66</v>
      </c>
      <c r="BU36" s="215">
        <v>21.14</v>
      </c>
      <c r="BV36" s="215">
        <v>20.52</v>
      </c>
      <c r="BW36" s="215">
        <v>19.579999999999998</v>
      </c>
      <c r="BX36" s="215">
        <v>19.72</v>
      </c>
      <c r="BY36" s="215">
        <v>20.239999999999998</v>
      </c>
      <c r="BZ36" s="215">
        <v>21.35</v>
      </c>
      <c r="CA36" s="215">
        <v>21.08</v>
      </c>
      <c r="CB36" s="215">
        <v>20.28</v>
      </c>
      <c r="CC36" s="215">
        <v>18.97</v>
      </c>
      <c r="CD36" s="215">
        <v>19.68</v>
      </c>
      <c r="CE36" s="215">
        <v>20.11</v>
      </c>
      <c r="CF36" s="215">
        <v>19.32</v>
      </c>
      <c r="CG36" s="215">
        <v>36.53</v>
      </c>
      <c r="CH36" s="215">
        <v>37.950000000000003</v>
      </c>
      <c r="CI36" s="215">
        <v>39.65</v>
      </c>
      <c r="CJ36" s="215">
        <v>39.64</v>
      </c>
      <c r="CK36" s="215">
        <v>41.93</v>
      </c>
      <c r="CL36" s="215">
        <v>43.06</v>
      </c>
      <c r="CM36" s="215">
        <v>53.48</v>
      </c>
      <c r="CN36" s="215">
        <v>52.5</v>
      </c>
      <c r="CO36" s="215">
        <v>53.18</v>
      </c>
      <c r="CP36" s="215">
        <v>53.04</v>
      </c>
      <c r="CQ36" s="215">
        <v>49.53</v>
      </c>
      <c r="CR36" s="215">
        <v>44.45</v>
      </c>
      <c r="CS36" s="215">
        <v>42.71</v>
      </c>
      <c r="CT36" s="215">
        <v>23.47</v>
      </c>
      <c r="CU36" s="215">
        <v>22.74</v>
      </c>
      <c r="CV36" s="215">
        <v>22.65</v>
      </c>
      <c r="CW36" s="215">
        <v>22.83</v>
      </c>
      <c r="CX36" s="215">
        <v>23.87</v>
      </c>
      <c r="CY36" s="215">
        <v>23.63</v>
      </c>
      <c r="CZ36" s="215">
        <v>19.21</v>
      </c>
      <c r="DA36" s="215">
        <v>19.579999999999998</v>
      </c>
      <c r="DB36" s="215">
        <v>18.97</v>
      </c>
      <c r="DC36" s="215">
        <v>18.64</v>
      </c>
      <c r="DD36" s="215">
        <v>17.97</v>
      </c>
      <c r="DE36" s="215">
        <v>18.27</v>
      </c>
      <c r="DF36" s="215">
        <v>17.71</v>
      </c>
      <c r="DG36" s="215">
        <v>17.809999999999999</v>
      </c>
      <c r="DH36" s="215">
        <v>16.75</v>
      </c>
      <c r="DI36" s="215">
        <v>15.15</v>
      </c>
      <c r="DJ36" s="215">
        <v>15.09</v>
      </c>
      <c r="DK36" s="215">
        <v>17.34</v>
      </c>
      <c r="DL36" s="215">
        <v>17.07</v>
      </c>
      <c r="DM36" s="215">
        <v>17.739999999999998</v>
      </c>
      <c r="DN36" s="215">
        <v>18.079999999999998</v>
      </c>
      <c r="DO36" s="215">
        <v>17.96</v>
      </c>
      <c r="DP36" s="215">
        <v>18.37</v>
      </c>
      <c r="DQ36" s="215">
        <v>20.87</v>
      </c>
      <c r="DR36" s="215">
        <v>20.29</v>
      </c>
      <c r="DS36" s="215">
        <v>19.309999999999999</v>
      </c>
      <c r="DT36" s="215">
        <v>19.2</v>
      </c>
      <c r="DU36" s="215">
        <v>16.27</v>
      </c>
      <c r="DV36" s="215">
        <v>17.100000000000001</v>
      </c>
      <c r="DW36" s="215">
        <v>17.32</v>
      </c>
      <c r="DX36" s="215">
        <v>17.12</v>
      </c>
      <c r="DY36" s="215">
        <v>17.93</v>
      </c>
      <c r="DZ36" s="215">
        <v>20.059999999999999</v>
      </c>
      <c r="EA36" s="215">
        <v>21.78</v>
      </c>
      <c r="EB36" s="215">
        <v>22.75</v>
      </c>
      <c r="EC36" s="215">
        <v>29.17</v>
      </c>
      <c r="ED36" s="215">
        <v>28.18</v>
      </c>
      <c r="EE36" s="215">
        <v>28.5</v>
      </c>
      <c r="EF36" s="215">
        <v>35.01</v>
      </c>
      <c r="EG36" s="215">
        <v>34.79</v>
      </c>
    </row>
    <row r="37" spans="1:137" x14ac:dyDescent="0.3">
      <c r="A37" s="210" t="s">
        <v>986</v>
      </c>
      <c r="B37" s="214" t="s">
        <v>987</v>
      </c>
      <c r="C37" s="215">
        <v>23.86</v>
      </c>
      <c r="D37" s="215">
        <v>23.11</v>
      </c>
      <c r="E37" s="215">
        <v>22.93</v>
      </c>
      <c r="F37" s="215">
        <v>22.93</v>
      </c>
      <c r="G37" s="215">
        <v>19.190000000000001</v>
      </c>
      <c r="H37" s="215">
        <v>18.39</v>
      </c>
      <c r="I37" s="215">
        <v>18.37</v>
      </c>
      <c r="J37" s="215">
        <v>17.350000000000001</v>
      </c>
      <c r="K37" s="215">
        <v>16.48</v>
      </c>
      <c r="L37" s="215">
        <v>17.63</v>
      </c>
      <c r="M37" s="215">
        <v>18.73</v>
      </c>
      <c r="N37" s="215">
        <v>17.93</v>
      </c>
      <c r="O37" s="215">
        <v>17.09</v>
      </c>
      <c r="P37" s="215">
        <v>17.8</v>
      </c>
      <c r="Q37" s="215">
        <v>17.98</v>
      </c>
      <c r="R37" s="215">
        <v>18.71</v>
      </c>
      <c r="S37" s="215">
        <v>19.53</v>
      </c>
      <c r="T37" s="215">
        <v>21.78</v>
      </c>
      <c r="U37" s="215">
        <v>22.63</v>
      </c>
      <c r="V37" s="215">
        <v>22.52</v>
      </c>
      <c r="W37" s="215">
        <v>27.08</v>
      </c>
      <c r="X37" s="215">
        <v>27.12</v>
      </c>
      <c r="Y37" s="215">
        <v>17.579999999999998</v>
      </c>
      <c r="Z37" s="215">
        <v>18.3</v>
      </c>
      <c r="AA37" s="215">
        <v>18.71</v>
      </c>
      <c r="AB37" s="215">
        <v>18.82</v>
      </c>
      <c r="AC37" s="215">
        <v>19.79</v>
      </c>
      <c r="AD37" s="215">
        <v>20.04</v>
      </c>
      <c r="AE37" s="215">
        <v>19.02</v>
      </c>
      <c r="AF37" s="215">
        <v>19.399999999999999</v>
      </c>
      <c r="AG37" s="215">
        <v>19.02</v>
      </c>
      <c r="AH37" s="215">
        <v>17.100000000000001</v>
      </c>
      <c r="AI37" s="215">
        <v>16.88</v>
      </c>
      <c r="AJ37" s="215">
        <v>16.559999999999999</v>
      </c>
      <c r="AK37" s="215">
        <v>25.83</v>
      </c>
      <c r="AL37" s="215">
        <v>23.67</v>
      </c>
      <c r="AM37" s="215">
        <v>23.13</v>
      </c>
      <c r="AN37" s="215">
        <v>22.89</v>
      </c>
      <c r="AO37" s="215">
        <v>106.03</v>
      </c>
      <c r="AP37" s="215">
        <v>108.22</v>
      </c>
      <c r="AQ37" s="215">
        <v>110.06</v>
      </c>
      <c r="AR37" s="215">
        <v>161.38999999999999</v>
      </c>
      <c r="AS37" s="215">
        <v>182</v>
      </c>
      <c r="AT37" s="215">
        <v>184.13</v>
      </c>
      <c r="AU37" s="214" t="s">
        <v>996</v>
      </c>
      <c r="AV37" s="214" t="s">
        <v>996</v>
      </c>
      <c r="AW37" s="214" t="s">
        <v>996</v>
      </c>
      <c r="AX37" s="214" t="s">
        <v>996</v>
      </c>
      <c r="AY37" s="214" t="s">
        <v>996</v>
      </c>
      <c r="AZ37" s="215">
        <v>34.770000000000003</v>
      </c>
      <c r="BA37" s="215">
        <v>35.369999999999997</v>
      </c>
      <c r="BB37" s="215">
        <v>36.659999999999997</v>
      </c>
      <c r="BC37" s="215">
        <v>31.68</v>
      </c>
      <c r="BD37" s="215">
        <v>33.24</v>
      </c>
      <c r="BE37" s="215">
        <v>34.130000000000003</v>
      </c>
      <c r="BF37" s="215">
        <v>18.579999999999998</v>
      </c>
      <c r="BG37" s="215">
        <v>19.71</v>
      </c>
      <c r="BH37" s="215">
        <v>19.850000000000001</v>
      </c>
      <c r="BI37" s="215">
        <v>17.22</v>
      </c>
      <c r="BJ37" s="215">
        <v>17.670000000000002</v>
      </c>
      <c r="BK37" s="215">
        <v>17.899999999999999</v>
      </c>
      <c r="BL37" s="215">
        <v>17.79</v>
      </c>
      <c r="BM37" s="215">
        <v>14.77</v>
      </c>
      <c r="BN37" s="215">
        <v>17.28</v>
      </c>
      <c r="BO37" s="215">
        <v>17.88</v>
      </c>
      <c r="BP37" s="215">
        <v>17.03</v>
      </c>
      <c r="BQ37" s="215">
        <v>17.579999999999998</v>
      </c>
      <c r="BR37" s="215">
        <v>17.05</v>
      </c>
      <c r="BS37" s="215">
        <v>15.96</v>
      </c>
      <c r="BT37" s="215">
        <v>16.61</v>
      </c>
      <c r="BU37" s="215">
        <v>17.79</v>
      </c>
      <c r="BV37" s="215">
        <v>19.559999999999999</v>
      </c>
      <c r="BW37" s="215">
        <v>18.350000000000001</v>
      </c>
      <c r="BX37" s="215">
        <v>17.71</v>
      </c>
      <c r="BY37" s="215">
        <v>17.86</v>
      </c>
      <c r="BZ37" s="215">
        <v>20.12</v>
      </c>
      <c r="CA37" s="215">
        <v>19.03</v>
      </c>
      <c r="CB37" s="215">
        <v>18.649999999999999</v>
      </c>
      <c r="CC37" s="215">
        <v>18.18</v>
      </c>
      <c r="CD37" s="215">
        <v>18.420000000000002</v>
      </c>
      <c r="CE37" s="215">
        <v>18.170000000000002</v>
      </c>
      <c r="CF37" s="215">
        <v>18.100000000000001</v>
      </c>
      <c r="CG37" s="215">
        <v>18.72</v>
      </c>
      <c r="CH37" s="215">
        <v>34.33</v>
      </c>
      <c r="CI37" s="215">
        <v>37.770000000000003</v>
      </c>
      <c r="CJ37" s="215">
        <v>35.270000000000003</v>
      </c>
      <c r="CK37" s="215">
        <v>36.200000000000003</v>
      </c>
      <c r="CL37" s="215">
        <v>40.24</v>
      </c>
      <c r="CM37" s="215">
        <v>39.82</v>
      </c>
      <c r="CN37" s="215">
        <v>44.74</v>
      </c>
      <c r="CO37" s="215">
        <v>47.06</v>
      </c>
      <c r="CP37" s="215">
        <v>45.06</v>
      </c>
      <c r="CQ37" s="215">
        <v>42.28</v>
      </c>
      <c r="CR37" s="215">
        <v>39.409999999999997</v>
      </c>
      <c r="CS37" s="215">
        <v>21.01</v>
      </c>
      <c r="CT37" s="215">
        <v>21.69</v>
      </c>
      <c r="CU37" s="215">
        <v>21.4</v>
      </c>
      <c r="CV37" s="215">
        <v>21.44</v>
      </c>
      <c r="CW37" s="215">
        <v>21.1</v>
      </c>
      <c r="CX37" s="215">
        <v>22.6</v>
      </c>
      <c r="CY37" s="215">
        <v>18.5</v>
      </c>
      <c r="CZ37" s="215">
        <v>18.52</v>
      </c>
      <c r="DA37" s="215">
        <v>18.57</v>
      </c>
      <c r="DB37" s="215">
        <v>17.75</v>
      </c>
      <c r="DC37" s="215">
        <v>17.18</v>
      </c>
      <c r="DD37" s="215">
        <v>16.54</v>
      </c>
      <c r="DE37" s="215">
        <v>16.100000000000001</v>
      </c>
      <c r="DF37" s="215">
        <v>16.420000000000002</v>
      </c>
      <c r="DG37" s="215">
        <v>16.23</v>
      </c>
      <c r="DH37" s="215">
        <v>14.74</v>
      </c>
      <c r="DI37" s="215">
        <v>14.46</v>
      </c>
      <c r="DJ37" s="215">
        <v>13.86</v>
      </c>
      <c r="DK37" s="215">
        <v>15.02</v>
      </c>
      <c r="DL37" s="215">
        <v>16.55</v>
      </c>
      <c r="DM37" s="215">
        <v>16.579999999999998</v>
      </c>
      <c r="DN37" s="215">
        <v>16.46</v>
      </c>
      <c r="DO37" s="215">
        <v>17.39</v>
      </c>
      <c r="DP37" s="215">
        <v>17.38</v>
      </c>
      <c r="DQ37" s="215">
        <v>17.27</v>
      </c>
      <c r="DR37" s="215">
        <v>18.739999999999998</v>
      </c>
      <c r="DS37" s="215">
        <v>16.95</v>
      </c>
      <c r="DT37" s="215">
        <v>15.98</v>
      </c>
      <c r="DU37" s="215">
        <v>15.35</v>
      </c>
      <c r="DV37" s="215">
        <v>14.43</v>
      </c>
      <c r="DW37" s="215">
        <v>16.43</v>
      </c>
      <c r="DX37" s="215">
        <v>16.190000000000001</v>
      </c>
      <c r="DY37" s="215">
        <v>16.27</v>
      </c>
      <c r="DZ37" s="215">
        <v>17.77</v>
      </c>
      <c r="EA37" s="215">
        <v>19.22</v>
      </c>
      <c r="EB37" s="215">
        <v>21.6</v>
      </c>
      <c r="EC37" s="215">
        <v>22.38</v>
      </c>
      <c r="ED37" s="215">
        <v>26.73</v>
      </c>
      <c r="EE37" s="215">
        <v>26.41</v>
      </c>
      <c r="EF37" s="215">
        <v>26.55</v>
      </c>
      <c r="EG37" s="215">
        <v>34.68</v>
      </c>
    </row>
    <row r="38" spans="1:137" x14ac:dyDescent="0.3">
      <c r="A38" s="210" t="s">
        <v>988</v>
      </c>
      <c r="B38" s="214" t="s">
        <v>989</v>
      </c>
      <c r="C38" s="215">
        <v>24.5</v>
      </c>
      <c r="D38" s="215">
        <v>23.37</v>
      </c>
      <c r="E38" s="215">
        <v>23.55</v>
      </c>
      <c r="F38" s="215">
        <v>22.93</v>
      </c>
      <c r="G38" s="215">
        <v>19.98</v>
      </c>
      <c r="H38" s="215">
        <v>18.39</v>
      </c>
      <c r="I38" s="215">
        <v>18.920000000000002</v>
      </c>
      <c r="J38" s="215">
        <v>17.350000000000001</v>
      </c>
      <c r="K38" s="215">
        <v>17.690000000000001</v>
      </c>
      <c r="L38" s="215">
        <v>18.73</v>
      </c>
      <c r="M38" s="215">
        <v>19.5</v>
      </c>
      <c r="N38" s="215">
        <v>18.47</v>
      </c>
      <c r="O38" s="215">
        <v>18.61</v>
      </c>
      <c r="P38" s="215">
        <v>17.97</v>
      </c>
      <c r="Q38" s="215">
        <v>19.38</v>
      </c>
      <c r="R38" s="215">
        <v>19.25</v>
      </c>
      <c r="S38" s="215">
        <v>21.86</v>
      </c>
      <c r="T38" s="215">
        <v>23.27</v>
      </c>
      <c r="U38" s="215">
        <v>22.83</v>
      </c>
      <c r="V38" s="215">
        <v>27.64</v>
      </c>
      <c r="W38" s="215">
        <v>28.31</v>
      </c>
      <c r="X38" s="215">
        <v>28.29</v>
      </c>
      <c r="Y38" s="215">
        <v>18.52</v>
      </c>
      <c r="Z38" s="215">
        <v>18.670000000000002</v>
      </c>
      <c r="AA38" s="215">
        <v>19</v>
      </c>
      <c r="AB38" s="215">
        <v>20.2</v>
      </c>
      <c r="AC38" s="215">
        <v>20.239999999999998</v>
      </c>
      <c r="AD38" s="215">
        <v>20.7</v>
      </c>
      <c r="AE38" s="215">
        <v>20.04</v>
      </c>
      <c r="AF38" s="215">
        <v>19.399999999999999</v>
      </c>
      <c r="AG38" s="215">
        <v>19.440000000000001</v>
      </c>
      <c r="AH38" s="215">
        <v>17.440000000000001</v>
      </c>
      <c r="AI38" s="215">
        <v>16.88</v>
      </c>
      <c r="AJ38" s="215">
        <v>26.02</v>
      </c>
      <c r="AK38" s="215">
        <v>26.79</v>
      </c>
      <c r="AL38" s="215">
        <v>23.68</v>
      </c>
      <c r="AM38" s="215">
        <v>23.7</v>
      </c>
      <c r="AN38" s="215">
        <v>107.9</v>
      </c>
      <c r="AO38" s="215">
        <v>110.12</v>
      </c>
      <c r="AP38" s="215">
        <v>110.69</v>
      </c>
      <c r="AQ38" s="215">
        <v>170.72</v>
      </c>
      <c r="AR38" s="215">
        <v>186.07</v>
      </c>
      <c r="AS38" s="215">
        <v>185.24</v>
      </c>
      <c r="AT38" s="214" t="s">
        <v>996</v>
      </c>
      <c r="AU38" s="214" t="s">
        <v>996</v>
      </c>
      <c r="AV38" s="214" t="s">
        <v>996</v>
      </c>
      <c r="AW38" s="214" t="s">
        <v>996</v>
      </c>
      <c r="AX38" s="214" t="s">
        <v>996</v>
      </c>
      <c r="AY38" s="214" t="s">
        <v>996</v>
      </c>
      <c r="AZ38" s="215">
        <v>35.22</v>
      </c>
      <c r="BA38" s="215">
        <v>36.799999999999997</v>
      </c>
      <c r="BB38" s="215">
        <v>37.409999999999997</v>
      </c>
      <c r="BC38" s="215">
        <v>33.130000000000003</v>
      </c>
      <c r="BD38" s="215">
        <v>34.64</v>
      </c>
      <c r="BE38" s="215">
        <v>34.130000000000003</v>
      </c>
      <c r="BF38" s="215">
        <v>19.91</v>
      </c>
      <c r="BG38" s="215">
        <v>20.76</v>
      </c>
      <c r="BH38" s="215">
        <v>20.32</v>
      </c>
      <c r="BI38" s="215">
        <v>17.84</v>
      </c>
      <c r="BJ38" s="215">
        <v>18.350000000000001</v>
      </c>
      <c r="BK38" s="215">
        <v>19.46</v>
      </c>
      <c r="BL38" s="215">
        <v>23.29</v>
      </c>
      <c r="BM38" s="215">
        <v>18.829999999999998</v>
      </c>
      <c r="BN38" s="215">
        <v>20.63</v>
      </c>
      <c r="BO38" s="215">
        <v>19.100000000000001</v>
      </c>
      <c r="BP38" s="215">
        <v>17.72</v>
      </c>
      <c r="BQ38" s="215">
        <v>18.82</v>
      </c>
      <c r="BR38" s="215">
        <v>17.239999999999998</v>
      </c>
      <c r="BS38" s="215">
        <v>16.5</v>
      </c>
      <c r="BT38" s="215">
        <v>17.47</v>
      </c>
      <c r="BU38" s="215">
        <v>19.82</v>
      </c>
      <c r="BV38" s="215">
        <v>19.809999999999999</v>
      </c>
      <c r="BW38" s="215">
        <v>19.239999999999998</v>
      </c>
      <c r="BX38" s="215">
        <v>17.71</v>
      </c>
      <c r="BY38" s="215">
        <v>20.239999999999998</v>
      </c>
      <c r="BZ38" s="215">
        <v>21</v>
      </c>
      <c r="CA38" s="215">
        <v>19.07</v>
      </c>
      <c r="CB38" s="215">
        <v>18.649999999999999</v>
      </c>
      <c r="CC38" s="215">
        <v>18.39</v>
      </c>
      <c r="CD38" s="215">
        <v>19.46</v>
      </c>
      <c r="CE38" s="215">
        <v>18.600000000000001</v>
      </c>
      <c r="CF38" s="215">
        <v>18.760000000000002</v>
      </c>
      <c r="CG38" s="215">
        <v>34.39</v>
      </c>
      <c r="CH38" s="215">
        <v>37.950000000000003</v>
      </c>
      <c r="CI38" s="215">
        <v>39.630000000000003</v>
      </c>
      <c r="CJ38" s="215">
        <v>35.97</v>
      </c>
      <c r="CK38" s="215">
        <v>41.93</v>
      </c>
      <c r="CL38" s="215">
        <v>40.24</v>
      </c>
      <c r="CM38" s="215">
        <v>52.55</v>
      </c>
      <c r="CN38" s="215">
        <v>48.19</v>
      </c>
      <c r="CO38" s="215">
        <v>53.18</v>
      </c>
      <c r="CP38" s="215">
        <v>46.52</v>
      </c>
      <c r="CQ38" s="215">
        <v>42.28</v>
      </c>
      <c r="CR38" s="215">
        <v>42.57</v>
      </c>
      <c r="CS38" s="215">
        <v>23.32</v>
      </c>
      <c r="CT38" s="215">
        <v>21.69</v>
      </c>
      <c r="CU38" s="215">
        <v>22.5</v>
      </c>
      <c r="CV38" s="215">
        <v>22.65</v>
      </c>
      <c r="CW38" s="215">
        <v>22.83</v>
      </c>
      <c r="CX38" s="215">
        <v>23.49</v>
      </c>
      <c r="CY38" s="215">
        <v>18.5</v>
      </c>
      <c r="CZ38" s="215">
        <v>18.760000000000002</v>
      </c>
      <c r="DA38" s="215">
        <v>19.2</v>
      </c>
      <c r="DB38" s="215">
        <v>17.8</v>
      </c>
      <c r="DC38" s="215">
        <v>17.239999999999998</v>
      </c>
      <c r="DD38" s="215">
        <v>17.75</v>
      </c>
      <c r="DE38" s="215">
        <v>16.87</v>
      </c>
      <c r="DF38" s="215">
        <v>17.3</v>
      </c>
      <c r="DG38" s="215">
        <v>16.559999999999999</v>
      </c>
      <c r="DH38" s="215">
        <v>14.74</v>
      </c>
      <c r="DI38" s="215">
        <v>15</v>
      </c>
      <c r="DJ38" s="215">
        <v>14.95</v>
      </c>
      <c r="DK38" s="215">
        <v>17.04</v>
      </c>
      <c r="DL38" s="215">
        <v>16.82</v>
      </c>
      <c r="DM38" s="215">
        <v>17.71</v>
      </c>
      <c r="DN38" s="215">
        <v>17.559999999999999</v>
      </c>
      <c r="DO38" s="215">
        <v>17.87</v>
      </c>
      <c r="DP38" s="215">
        <v>17.809999999999999</v>
      </c>
      <c r="DQ38" s="215">
        <v>20.63</v>
      </c>
      <c r="DR38" s="215">
        <v>19.32</v>
      </c>
      <c r="DS38" s="215">
        <v>18.27</v>
      </c>
      <c r="DT38" s="215">
        <v>16.190000000000001</v>
      </c>
      <c r="DU38" s="215">
        <v>16.14</v>
      </c>
      <c r="DV38" s="215">
        <v>16.8</v>
      </c>
      <c r="DW38" s="215">
        <v>17.25</v>
      </c>
      <c r="DX38" s="215">
        <v>16.63</v>
      </c>
      <c r="DY38" s="215">
        <v>17.93</v>
      </c>
      <c r="DZ38" s="215">
        <v>19.98</v>
      </c>
      <c r="EA38" s="215">
        <v>21.78</v>
      </c>
      <c r="EB38" s="215">
        <v>22.25</v>
      </c>
      <c r="EC38" s="215">
        <v>29.17</v>
      </c>
      <c r="ED38" s="215">
        <v>27.19</v>
      </c>
      <c r="EE38" s="215">
        <v>26.8</v>
      </c>
      <c r="EF38" s="215">
        <v>35.01</v>
      </c>
      <c r="EG38" s="215">
        <v>34.69</v>
      </c>
    </row>
    <row r="39" spans="1:137" x14ac:dyDescent="0.3">
      <c r="A39" s="210" t="s">
        <v>997</v>
      </c>
      <c r="B39" s="214" t="s">
        <v>205</v>
      </c>
      <c r="C39" s="215">
        <v>23.76</v>
      </c>
      <c r="D39" s="215">
        <v>23.25</v>
      </c>
      <c r="E39" s="215">
        <v>22.55</v>
      </c>
      <c r="F39" s="215">
        <v>22.38</v>
      </c>
      <c r="G39" s="215">
        <v>21.57</v>
      </c>
      <c r="H39" s="215">
        <v>20.83</v>
      </c>
      <c r="I39" s="215">
        <v>20.420000000000002</v>
      </c>
      <c r="J39" s="215">
        <v>20.2</v>
      </c>
      <c r="K39" s="215">
        <v>18.38</v>
      </c>
      <c r="L39" s="215">
        <v>19.920000000000002</v>
      </c>
      <c r="M39" s="215">
        <v>19.329999999999998</v>
      </c>
      <c r="N39" s="215">
        <v>18.100000000000001</v>
      </c>
      <c r="O39" s="215">
        <v>17.489999999999998</v>
      </c>
      <c r="P39" s="215">
        <v>18.68</v>
      </c>
      <c r="Q39" s="215">
        <v>19.600000000000001</v>
      </c>
      <c r="R39" s="215">
        <v>20.68</v>
      </c>
      <c r="S39" s="215">
        <v>21.05</v>
      </c>
      <c r="T39" s="215">
        <v>21.86</v>
      </c>
      <c r="U39" s="215">
        <v>22.76</v>
      </c>
      <c r="V39" s="215">
        <v>22.13</v>
      </c>
      <c r="W39" s="215">
        <v>22.47</v>
      </c>
      <c r="X39" s="215">
        <v>21.83</v>
      </c>
      <c r="Y39" s="215">
        <v>19.96</v>
      </c>
      <c r="Z39" s="215">
        <v>20.07</v>
      </c>
      <c r="AA39" s="215">
        <v>20.45</v>
      </c>
      <c r="AB39" s="215">
        <v>21.29</v>
      </c>
      <c r="AC39" s="215">
        <v>21.54</v>
      </c>
      <c r="AD39" s="215">
        <v>21.83</v>
      </c>
      <c r="AE39" s="215">
        <v>21.79</v>
      </c>
      <c r="AF39" s="215">
        <v>22.11</v>
      </c>
      <c r="AG39" s="215">
        <v>21.6</v>
      </c>
      <c r="AH39" s="215">
        <v>21.75</v>
      </c>
      <c r="AI39" s="215">
        <v>21.64</v>
      </c>
      <c r="AJ39" s="215">
        <v>21.12</v>
      </c>
      <c r="AK39" s="215">
        <v>22.05</v>
      </c>
      <c r="AL39" s="215">
        <v>20.9</v>
      </c>
      <c r="AM39" s="215">
        <v>19.66</v>
      </c>
      <c r="AN39" s="215">
        <v>19.66</v>
      </c>
      <c r="AO39" s="215">
        <v>19.87</v>
      </c>
      <c r="AP39" s="215">
        <v>20.18</v>
      </c>
      <c r="AQ39" s="215">
        <v>18.46</v>
      </c>
      <c r="AR39" s="215">
        <v>19.18</v>
      </c>
      <c r="AS39" s="215">
        <v>20.39</v>
      </c>
      <c r="AT39" s="215">
        <v>20.36</v>
      </c>
      <c r="AU39" s="215">
        <v>20.329999999999998</v>
      </c>
      <c r="AV39" s="215">
        <v>20.2</v>
      </c>
      <c r="AW39" s="215">
        <v>19.399999999999999</v>
      </c>
      <c r="AX39" s="215">
        <v>19.32</v>
      </c>
      <c r="AY39" s="215">
        <v>19.16</v>
      </c>
      <c r="AZ39" s="215">
        <v>19.97</v>
      </c>
      <c r="BA39" s="215">
        <v>20.61</v>
      </c>
      <c r="BB39" s="215">
        <v>21.18</v>
      </c>
      <c r="BC39" s="215">
        <v>20.440000000000001</v>
      </c>
      <c r="BD39" s="215">
        <v>21.52</v>
      </c>
      <c r="BE39" s="215">
        <v>22.76</v>
      </c>
      <c r="BF39" s="215">
        <v>22.34</v>
      </c>
      <c r="BG39" s="215">
        <v>22.94</v>
      </c>
      <c r="BH39" s="215">
        <v>22.83</v>
      </c>
      <c r="BI39" s="215">
        <v>21.79</v>
      </c>
      <c r="BJ39" s="215">
        <v>21.88</v>
      </c>
      <c r="BK39" s="215">
        <v>22.78</v>
      </c>
      <c r="BL39" s="215">
        <v>23.04</v>
      </c>
      <c r="BM39" s="215">
        <v>16.420000000000002</v>
      </c>
      <c r="BN39" s="215">
        <v>16.98</v>
      </c>
      <c r="BO39" s="215">
        <v>17.28</v>
      </c>
      <c r="BP39" s="215">
        <v>17.88</v>
      </c>
      <c r="BQ39" s="215">
        <v>17.600000000000001</v>
      </c>
      <c r="BR39" s="215">
        <v>18.3</v>
      </c>
      <c r="BS39" s="215">
        <v>17.14</v>
      </c>
      <c r="BT39" s="215">
        <v>18.149999999999999</v>
      </c>
      <c r="BU39" s="215">
        <v>17.79</v>
      </c>
      <c r="BV39" s="215">
        <v>16.48</v>
      </c>
      <c r="BW39" s="215">
        <v>15.69</v>
      </c>
      <c r="BX39" s="215">
        <v>16.079999999999998</v>
      </c>
      <c r="BY39" s="215">
        <v>15.7</v>
      </c>
      <c r="BZ39" s="215">
        <v>16.809999999999999</v>
      </c>
      <c r="CA39" s="215">
        <v>16.59</v>
      </c>
      <c r="CB39" s="215">
        <v>16.809999999999999</v>
      </c>
      <c r="CC39" s="215">
        <v>17.23</v>
      </c>
      <c r="CD39" s="215">
        <v>16.739999999999998</v>
      </c>
      <c r="CE39" s="215">
        <v>16.62</v>
      </c>
      <c r="CF39" s="215">
        <v>16.100000000000001</v>
      </c>
      <c r="CG39" s="215">
        <v>15.76</v>
      </c>
      <c r="CH39" s="215">
        <v>16.04</v>
      </c>
      <c r="CI39" s="215">
        <v>16.760000000000002</v>
      </c>
      <c r="CJ39" s="215">
        <v>16.57</v>
      </c>
      <c r="CK39" s="215">
        <v>18.46</v>
      </c>
      <c r="CL39" s="215">
        <v>19.78</v>
      </c>
      <c r="CM39" s="215">
        <v>18.89</v>
      </c>
      <c r="CN39" s="215">
        <v>17.690000000000001</v>
      </c>
      <c r="CO39" s="215">
        <v>17.96</v>
      </c>
      <c r="CP39" s="215">
        <v>19.57</v>
      </c>
      <c r="CQ39" s="215">
        <v>19.7</v>
      </c>
      <c r="CR39" s="215">
        <v>17.47</v>
      </c>
      <c r="CS39" s="215">
        <v>18.12</v>
      </c>
      <c r="CT39" s="215">
        <v>18.649999999999999</v>
      </c>
      <c r="CU39" s="215">
        <v>18.68</v>
      </c>
      <c r="CV39" s="215">
        <v>18.649999999999999</v>
      </c>
      <c r="CW39" s="215">
        <v>16.32</v>
      </c>
      <c r="CX39" s="215">
        <v>17.22</v>
      </c>
      <c r="CY39" s="215">
        <v>17.190000000000001</v>
      </c>
      <c r="CZ39" s="215">
        <v>16.739999999999998</v>
      </c>
      <c r="DA39" s="215">
        <v>16.98</v>
      </c>
      <c r="DB39" s="215">
        <v>16.54</v>
      </c>
      <c r="DC39" s="215">
        <v>16.37</v>
      </c>
      <c r="DD39" s="215">
        <v>15.77</v>
      </c>
      <c r="DE39" s="215">
        <v>17.75</v>
      </c>
      <c r="DF39" s="215">
        <v>19.09</v>
      </c>
      <c r="DG39" s="215">
        <v>18.39</v>
      </c>
      <c r="DH39" s="215">
        <v>16.7</v>
      </c>
      <c r="DI39" s="215">
        <v>15.07</v>
      </c>
      <c r="DJ39" s="215">
        <v>15.07</v>
      </c>
      <c r="DK39" s="215">
        <v>15.78</v>
      </c>
      <c r="DL39" s="215">
        <v>15.72</v>
      </c>
      <c r="DM39" s="215">
        <v>15.84</v>
      </c>
      <c r="DN39" s="215">
        <v>16.09</v>
      </c>
      <c r="DO39" s="215">
        <v>16.760000000000002</v>
      </c>
      <c r="DP39" s="215">
        <v>17.13</v>
      </c>
      <c r="DQ39" s="215">
        <v>17.989999999999998</v>
      </c>
      <c r="DR39" s="215">
        <v>17.47</v>
      </c>
      <c r="DS39" s="215">
        <v>16.57</v>
      </c>
      <c r="DT39" s="215">
        <v>16.440000000000001</v>
      </c>
      <c r="DU39" s="215">
        <v>15.12</v>
      </c>
      <c r="DV39" s="215">
        <v>15.39</v>
      </c>
      <c r="DW39" s="215">
        <v>16.59</v>
      </c>
      <c r="DX39" s="215">
        <v>16.38</v>
      </c>
      <c r="DY39" s="215">
        <v>16.850000000000001</v>
      </c>
      <c r="DZ39" s="215">
        <v>17.55</v>
      </c>
      <c r="EA39" s="215">
        <v>17.93</v>
      </c>
      <c r="EB39" s="215">
        <v>19.63</v>
      </c>
      <c r="EC39" s="215">
        <v>19.350000000000001</v>
      </c>
      <c r="ED39" s="215">
        <v>18.47</v>
      </c>
      <c r="EE39" s="215">
        <v>18.239999999999998</v>
      </c>
      <c r="EF39" s="215">
        <v>18.739999999999998</v>
      </c>
      <c r="EG39" s="215">
        <v>18.72</v>
      </c>
    </row>
    <row r="40" spans="1:137" x14ac:dyDescent="0.3">
      <c r="A40" s="210" t="s">
        <v>190</v>
      </c>
      <c r="B40" s="214" t="s">
        <v>985</v>
      </c>
      <c r="C40" s="215">
        <v>24.43</v>
      </c>
      <c r="D40" s="215">
        <v>24.21</v>
      </c>
      <c r="E40" s="215">
        <v>23.24</v>
      </c>
      <c r="F40" s="215">
        <v>22.82</v>
      </c>
      <c r="G40" s="215">
        <v>22.24</v>
      </c>
      <c r="H40" s="215">
        <v>21.75</v>
      </c>
      <c r="I40" s="215">
        <v>21.02</v>
      </c>
      <c r="J40" s="215">
        <v>21.14</v>
      </c>
      <c r="K40" s="215">
        <v>19.21</v>
      </c>
      <c r="L40" s="215">
        <v>20.39</v>
      </c>
      <c r="M40" s="215">
        <v>20.36</v>
      </c>
      <c r="N40" s="215">
        <v>19.04</v>
      </c>
      <c r="O40" s="215">
        <v>18.46</v>
      </c>
      <c r="P40" s="215">
        <v>19.23</v>
      </c>
      <c r="Q40" s="215">
        <v>20.52</v>
      </c>
      <c r="R40" s="215">
        <v>21.16</v>
      </c>
      <c r="S40" s="215">
        <v>21.63</v>
      </c>
      <c r="T40" s="215">
        <v>22.93</v>
      </c>
      <c r="U40" s="215">
        <v>23.03</v>
      </c>
      <c r="V40" s="215">
        <v>22.74</v>
      </c>
      <c r="W40" s="215">
        <v>23.31</v>
      </c>
      <c r="X40" s="215">
        <v>22.62</v>
      </c>
      <c r="Y40" s="215">
        <v>22.1</v>
      </c>
      <c r="Z40" s="215">
        <v>20.65</v>
      </c>
      <c r="AA40" s="215">
        <v>20.78</v>
      </c>
      <c r="AB40" s="215">
        <v>22.13</v>
      </c>
      <c r="AC40" s="215">
        <v>21.94</v>
      </c>
      <c r="AD40" s="215">
        <v>22.21</v>
      </c>
      <c r="AE40" s="215">
        <v>22.54</v>
      </c>
      <c r="AF40" s="215">
        <v>22.74</v>
      </c>
      <c r="AG40" s="215">
        <v>22.08</v>
      </c>
      <c r="AH40" s="215">
        <v>22.29</v>
      </c>
      <c r="AI40" s="215">
        <v>22.15</v>
      </c>
      <c r="AJ40" s="215">
        <v>21.54</v>
      </c>
      <c r="AK40" s="215">
        <v>22.5</v>
      </c>
      <c r="AL40" s="215">
        <v>22.18</v>
      </c>
      <c r="AM40" s="215">
        <v>19.989999999999998</v>
      </c>
      <c r="AN40" s="215">
        <v>20.27</v>
      </c>
      <c r="AO40" s="215">
        <v>20.22</v>
      </c>
      <c r="AP40" s="215">
        <v>20.59</v>
      </c>
      <c r="AQ40" s="215">
        <v>20.5</v>
      </c>
      <c r="AR40" s="215">
        <v>20.28</v>
      </c>
      <c r="AS40" s="215">
        <v>20.75</v>
      </c>
      <c r="AT40" s="215">
        <v>20.65</v>
      </c>
      <c r="AU40" s="215">
        <v>20.84</v>
      </c>
      <c r="AV40" s="215">
        <v>20.51</v>
      </c>
      <c r="AW40" s="215">
        <v>20.02</v>
      </c>
      <c r="AX40" s="215">
        <v>20.170000000000002</v>
      </c>
      <c r="AY40" s="215">
        <v>19.98</v>
      </c>
      <c r="AZ40" s="215">
        <v>20.36</v>
      </c>
      <c r="BA40" s="215">
        <v>20.93</v>
      </c>
      <c r="BB40" s="215">
        <v>21.6</v>
      </c>
      <c r="BC40" s="215">
        <v>21.19</v>
      </c>
      <c r="BD40" s="215">
        <v>22.55</v>
      </c>
      <c r="BE40" s="215">
        <v>23.48</v>
      </c>
      <c r="BF40" s="215">
        <v>22.93</v>
      </c>
      <c r="BG40" s="215">
        <v>23.22</v>
      </c>
      <c r="BH40" s="215">
        <v>23.35</v>
      </c>
      <c r="BI40" s="215">
        <v>22.3</v>
      </c>
      <c r="BJ40" s="215">
        <v>22.17</v>
      </c>
      <c r="BK40" s="215">
        <v>23.96</v>
      </c>
      <c r="BL40" s="215">
        <v>23.95</v>
      </c>
      <c r="BM40" s="215">
        <v>20.64</v>
      </c>
      <c r="BN40" s="215">
        <v>18.29</v>
      </c>
      <c r="BO40" s="215">
        <v>18.25</v>
      </c>
      <c r="BP40" s="215">
        <v>19.45</v>
      </c>
      <c r="BQ40" s="215">
        <v>18.13</v>
      </c>
      <c r="BR40" s="215">
        <v>19.32</v>
      </c>
      <c r="BS40" s="215">
        <v>17.88</v>
      </c>
      <c r="BT40" s="215">
        <v>19.02</v>
      </c>
      <c r="BU40" s="215">
        <v>18.350000000000001</v>
      </c>
      <c r="BV40" s="215">
        <v>17.64</v>
      </c>
      <c r="BW40" s="215">
        <v>16.45</v>
      </c>
      <c r="BX40" s="215">
        <v>16.55</v>
      </c>
      <c r="BY40" s="215">
        <v>16.440000000000001</v>
      </c>
      <c r="BZ40" s="215">
        <v>17.3</v>
      </c>
      <c r="CA40" s="215">
        <v>17.11</v>
      </c>
      <c r="CB40" s="215">
        <v>17.5</v>
      </c>
      <c r="CC40" s="215">
        <v>17.670000000000002</v>
      </c>
      <c r="CD40" s="215">
        <v>17.27</v>
      </c>
      <c r="CE40" s="215">
        <v>17.34</v>
      </c>
      <c r="CF40" s="215">
        <v>16.64</v>
      </c>
      <c r="CG40" s="215">
        <v>16.28</v>
      </c>
      <c r="CH40" s="215">
        <v>16.64</v>
      </c>
      <c r="CI40" s="215">
        <v>17.39</v>
      </c>
      <c r="CJ40" s="215">
        <v>17.010000000000002</v>
      </c>
      <c r="CK40" s="215">
        <v>19.82</v>
      </c>
      <c r="CL40" s="215">
        <v>20.32</v>
      </c>
      <c r="CM40" s="215">
        <v>19.45</v>
      </c>
      <c r="CN40" s="215">
        <v>19.09</v>
      </c>
      <c r="CO40" s="215">
        <v>19.53</v>
      </c>
      <c r="CP40" s="215">
        <v>20.100000000000001</v>
      </c>
      <c r="CQ40" s="215">
        <v>20.83</v>
      </c>
      <c r="CR40" s="215">
        <v>18.690000000000001</v>
      </c>
      <c r="CS40" s="215">
        <v>19.21</v>
      </c>
      <c r="CT40" s="215">
        <v>19.329999999999998</v>
      </c>
      <c r="CU40" s="215">
        <v>19.37</v>
      </c>
      <c r="CV40" s="215">
        <v>19.28</v>
      </c>
      <c r="CW40" s="215">
        <v>16.8</v>
      </c>
      <c r="CX40" s="215">
        <v>17.55</v>
      </c>
      <c r="CY40" s="215">
        <v>18.02</v>
      </c>
      <c r="CZ40" s="215">
        <v>17.02</v>
      </c>
      <c r="DA40" s="215">
        <v>17.670000000000002</v>
      </c>
      <c r="DB40" s="215">
        <v>17.12</v>
      </c>
      <c r="DC40" s="215">
        <v>16.940000000000001</v>
      </c>
      <c r="DD40" s="215">
        <v>16.21</v>
      </c>
      <c r="DE40" s="215">
        <v>18.28</v>
      </c>
      <c r="DF40" s="215">
        <v>19.940000000000001</v>
      </c>
      <c r="DG40" s="215">
        <v>20.41</v>
      </c>
      <c r="DH40" s="215">
        <v>17.39</v>
      </c>
      <c r="DI40" s="215">
        <v>15.49</v>
      </c>
      <c r="DJ40" s="215">
        <v>15.47</v>
      </c>
      <c r="DK40" s="215">
        <v>16.239999999999998</v>
      </c>
      <c r="DL40" s="215">
        <v>16</v>
      </c>
      <c r="DM40" s="215">
        <v>16.32</v>
      </c>
      <c r="DN40" s="215">
        <v>16.62</v>
      </c>
      <c r="DO40" s="215">
        <v>17.100000000000001</v>
      </c>
      <c r="DP40" s="215">
        <v>17.7</v>
      </c>
      <c r="DQ40" s="215">
        <v>18.670000000000002</v>
      </c>
      <c r="DR40" s="215">
        <v>18.170000000000002</v>
      </c>
      <c r="DS40" s="215">
        <v>17.38</v>
      </c>
      <c r="DT40" s="215">
        <v>17.53</v>
      </c>
      <c r="DU40" s="215">
        <v>15.45</v>
      </c>
      <c r="DV40" s="215">
        <v>16.59</v>
      </c>
      <c r="DW40" s="215">
        <v>17.04</v>
      </c>
      <c r="DX40" s="215">
        <v>16.91</v>
      </c>
      <c r="DY40" s="215">
        <v>17.87</v>
      </c>
      <c r="DZ40" s="215">
        <v>18.21</v>
      </c>
      <c r="EA40" s="215">
        <v>19.38</v>
      </c>
      <c r="EB40" s="215">
        <v>20.11</v>
      </c>
      <c r="EC40" s="215">
        <v>19.850000000000001</v>
      </c>
      <c r="ED40" s="215">
        <v>18.97</v>
      </c>
      <c r="EE40" s="215">
        <v>19.14</v>
      </c>
      <c r="EF40" s="215">
        <v>19.61</v>
      </c>
      <c r="EG40" s="215">
        <v>18.760000000000002</v>
      </c>
    </row>
    <row r="41" spans="1:137" x14ac:dyDescent="0.3">
      <c r="A41" s="210" t="s">
        <v>986</v>
      </c>
      <c r="B41" s="214" t="s">
        <v>987</v>
      </c>
      <c r="C41" s="215">
        <v>22.96</v>
      </c>
      <c r="D41" s="215">
        <v>22.41</v>
      </c>
      <c r="E41" s="215">
        <v>22.08</v>
      </c>
      <c r="F41" s="215">
        <v>21.91</v>
      </c>
      <c r="G41" s="215">
        <v>20.92</v>
      </c>
      <c r="H41" s="215">
        <v>20.010000000000002</v>
      </c>
      <c r="I41" s="215">
        <v>19.989999999999998</v>
      </c>
      <c r="J41" s="215">
        <v>18.84</v>
      </c>
      <c r="K41" s="215">
        <v>17.899999999999999</v>
      </c>
      <c r="L41" s="215">
        <v>19.149999999999999</v>
      </c>
      <c r="M41" s="215">
        <v>18.829999999999998</v>
      </c>
      <c r="N41" s="215">
        <v>17.37</v>
      </c>
      <c r="O41" s="215">
        <v>16.57</v>
      </c>
      <c r="P41" s="215">
        <v>18.170000000000002</v>
      </c>
      <c r="Q41" s="215">
        <v>18.63</v>
      </c>
      <c r="R41" s="215">
        <v>20.14</v>
      </c>
      <c r="S41" s="215">
        <v>20.64</v>
      </c>
      <c r="T41" s="215">
        <v>21.47</v>
      </c>
      <c r="U41" s="215">
        <v>22.42</v>
      </c>
      <c r="V41" s="215">
        <v>21.27</v>
      </c>
      <c r="W41" s="215">
        <v>21.6</v>
      </c>
      <c r="X41" s="215">
        <v>21.1</v>
      </c>
      <c r="Y41" s="215">
        <v>18.89</v>
      </c>
      <c r="Z41" s="215">
        <v>19.600000000000001</v>
      </c>
      <c r="AA41" s="215">
        <v>20.09</v>
      </c>
      <c r="AB41" s="215">
        <v>20.46</v>
      </c>
      <c r="AC41" s="215">
        <v>21.08</v>
      </c>
      <c r="AD41" s="215">
        <v>21.36</v>
      </c>
      <c r="AE41" s="215">
        <v>20.85</v>
      </c>
      <c r="AF41" s="215">
        <v>21.64</v>
      </c>
      <c r="AG41" s="215">
        <v>21.21</v>
      </c>
      <c r="AH41" s="215">
        <v>21.3</v>
      </c>
      <c r="AI41" s="215">
        <v>21.04</v>
      </c>
      <c r="AJ41" s="215">
        <v>20.64</v>
      </c>
      <c r="AK41" s="215">
        <v>21.47</v>
      </c>
      <c r="AL41" s="215">
        <v>19.68</v>
      </c>
      <c r="AM41" s="215">
        <v>19.28</v>
      </c>
      <c r="AN41" s="215">
        <v>19.05</v>
      </c>
      <c r="AO41" s="215">
        <v>19.440000000000001</v>
      </c>
      <c r="AP41" s="215">
        <v>19.77</v>
      </c>
      <c r="AQ41" s="215">
        <v>17.47</v>
      </c>
      <c r="AR41" s="215">
        <v>17.32</v>
      </c>
      <c r="AS41" s="215">
        <v>20.059999999999999</v>
      </c>
      <c r="AT41" s="215">
        <v>20.010000000000002</v>
      </c>
      <c r="AU41" s="215">
        <v>19.47</v>
      </c>
      <c r="AV41" s="215">
        <v>19.41</v>
      </c>
      <c r="AW41" s="215">
        <v>18.82</v>
      </c>
      <c r="AX41" s="215">
        <v>18.25</v>
      </c>
      <c r="AY41" s="215">
        <v>18.170000000000002</v>
      </c>
      <c r="AZ41" s="215">
        <v>19.600000000000001</v>
      </c>
      <c r="BA41" s="215">
        <v>20.149999999999999</v>
      </c>
      <c r="BB41" s="215">
        <v>20.85</v>
      </c>
      <c r="BC41" s="215">
        <v>19.54</v>
      </c>
      <c r="BD41" s="215">
        <v>20.420000000000002</v>
      </c>
      <c r="BE41" s="215">
        <v>22.03</v>
      </c>
      <c r="BF41" s="215">
        <v>21.39</v>
      </c>
      <c r="BG41" s="215">
        <v>22.57</v>
      </c>
      <c r="BH41" s="215">
        <v>22.26</v>
      </c>
      <c r="BI41" s="215">
        <v>21.46</v>
      </c>
      <c r="BJ41" s="215">
        <v>21.51</v>
      </c>
      <c r="BK41" s="215">
        <v>21.53</v>
      </c>
      <c r="BL41" s="215">
        <v>19.53</v>
      </c>
      <c r="BM41" s="215">
        <v>12.38</v>
      </c>
      <c r="BN41" s="215">
        <v>14.52</v>
      </c>
      <c r="BO41" s="215">
        <v>16.53</v>
      </c>
      <c r="BP41" s="215">
        <v>16.190000000000001</v>
      </c>
      <c r="BQ41" s="215">
        <v>16.899999999999999</v>
      </c>
      <c r="BR41" s="215">
        <v>17.5</v>
      </c>
      <c r="BS41" s="215">
        <v>16.48</v>
      </c>
      <c r="BT41" s="215">
        <v>17.149999999999999</v>
      </c>
      <c r="BU41" s="215">
        <v>16.850000000000001</v>
      </c>
      <c r="BV41" s="215">
        <v>15.92</v>
      </c>
      <c r="BW41" s="215">
        <v>14.97</v>
      </c>
      <c r="BX41" s="215">
        <v>14.37</v>
      </c>
      <c r="BY41" s="215">
        <v>14.49</v>
      </c>
      <c r="BZ41" s="215">
        <v>16.34</v>
      </c>
      <c r="CA41" s="215">
        <v>16.239999999999998</v>
      </c>
      <c r="CB41" s="215">
        <v>16.260000000000002</v>
      </c>
      <c r="CC41" s="215">
        <v>16.809999999999999</v>
      </c>
      <c r="CD41" s="215">
        <v>16.510000000000002</v>
      </c>
      <c r="CE41" s="215">
        <v>15.42</v>
      </c>
      <c r="CF41" s="215">
        <v>15.36</v>
      </c>
      <c r="CG41" s="215">
        <v>15.16</v>
      </c>
      <c r="CH41" s="215">
        <v>15.13</v>
      </c>
      <c r="CI41" s="215">
        <v>15.96</v>
      </c>
      <c r="CJ41" s="215">
        <v>16.25</v>
      </c>
      <c r="CK41" s="215">
        <v>17.12</v>
      </c>
      <c r="CL41" s="215">
        <v>18.97</v>
      </c>
      <c r="CM41" s="215">
        <v>18.32</v>
      </c>
      <c r="CN41" s="215">
        <v>16.28</v>
      </c>
      <c r="CO41" s="215">
        <v>17.16</v>
      </c>
      <c r="CP41" s="215">
        <v>18.8</v>
      </c>
      <c r="CQ41" s="215">
        <v>17.78</v>
      </c>
      <c r="CR41" s="215">
        <v>16.63</v>
      </c>
      <c r="CS41" s="215">
        <v>17.27</v>
      </c>
      <c r="CT41" s="215">
        <v>18.05</v>
      </c>
      <c r="CU41" s="215">
        <v>17.829999999999998</v>
      </c>
      <c r="CV41" s="215">
        <v>16.670000000000002</v>
      </c>
      <c r="CW41" s="215">
        <v>15.56</v>
      </c>
      <c r="CX41" s="215">
        <v>16.62</v>
      </c>
      <c r="CY41" s="215">
        <v>16.670000000000002</v>
      </c>
      <c r="CZ41" s="215">
        <v>16.36</v>
      </c>
      <c r="DA41" s="215">
        <v>16.399999999999999</v>
      </c>
      <c r="DB41" s="215">
        <v>16.18</v>
      </c>
      <c r="DC41" s="215">
        <v>15.6</v>
      </c>
      <c r="DD41" s="215">
        <v>15.02</v>
      </c>
      <c r="DE41" s="215">
        <v>16.18</v>
      </c>
      <c r="DF41" s="215">
        <v>17.59</v>
      </c>
      <c r="DG41" s="215">
        <v>16.989999999999998</v>
      </c>
      <c r="DH41" s="215">
        <v>15.08</v>
      </c>
      <c r="DI41" s="215">
        <v>14.81</v>
      </c>
      <c r="DJ41" s="215">
        <v>14.22</v>
      </c>
      <c r="DK41" s="215">
        <v>15.31</v>
      </c>
      <c r="DL41" s="215">
        <v>15.51</v>
      </c>
      <c r="DM41" s="215">
        <v>15.54</v>
      </c>
      <c r="DN41" s="215">
        <v>15.59</v>
      </c>
      <c r="DO41" s="215">
        <v>16.27</v>
      </c>
      <c r="DP41" s="215">
        <v>16.55</v>
      </c>
      <c r="DQ41" s="215">
        <v>16.350000000000001</v>
      </c>
      <c r="DR41" s="215">
        <v>16.86</v>
      </c>
      <c r="DS41" s="215">
        <v>15.25</v>
      </c>
      <c r="DT41" s="215">
        <v>14.04</v>
      </c>
      <c r="DU41" s="215">
        <v>14.58</v>
      </c>
      <c r="DV41" s="215">
        <v>13.8</v>
      </c>
      <c r="DW41" s="215">
        <v>16.18</v>
      </c>
      <c r="DX41" s="215">
        <v>15.99</v>
      </c>
      <c r="DY41" s="215">
        <v>16.100000000000001</v>
      </c>
      <c r="DZ41" s="215">
        <v>17.239999999999998</v>
      </c>
      <c r="EA41" s="215">
        <v>16.89</v>
      </c>
      <c r="EB41" s="215">
        <v>19.22</v>
      </c>
      <c r="EC41" s="215">
        <v>18.87</v>
      </c>
      <c r="ED41" s="215">
        <v>18.03</v>
      </c>
      <c r="EE41" s="215">
        <v>17.62</v>
      </c>
      <c r="EF41" s="215">
        <v>17.72</v>
      </c>
      <c r="EG41" s="215">
        <v>18.7</v>
      </c>
    </row>
    <row r="42" spans="1:137" x14ac:dyDescent="0.3">
      <c r="A42" s="210" t="s">
        <v>988</v>
      </c>
      <c r="B42" s="214" t="s">
        <v>989</v>
      </c>
      <c r="C42" s="215">
        <v>23.79</v>
      </c>
      <c r="D42" s="215">
        <v>22.41</v>
      </c>
      <c r="E42" s="215">
        <v>22.5</v>
      </c>
      <c r="F42" s="215">
        <v>21.91</v>
      </c>
      <c r="G42" s="215">
        <v>21.73</v>
      </c>
      <c r="H42" s="215">
        <v>20.010000000000002</v>
      </c>
      <c r="I42" s="215">
        <v>20.52</v>
      </c>
      <c r="J42" s="215">
        <v>18.84</v>
      </c>
      <c r="K42" s="215">
        <v>19.21</v>
      </c>
      <c r="L42" s="215">
        <v>20.36</v>
      </c>
      <c r="M42" s="215">
        <v>18.88</v>
      </c>
      <c r="N42" s="215">
        <v>17.89</v>
      </c>
      <c r="O42" s="215">
        <v>18.46</v>
      </c>
      <c r="P42" s="215">
        <v>18.57</v>
      </c>
      <c r="Q42" s="215">
        <v>20.52</v>
      </c>
      <c r="R42" s="215">
        <v>20.72</v>
      </c>
      <c r="S42" s="215">
        <v>21.63</v>
      </c>
      <c r="T42" s="215">
        <v>22.93</v>
      </c>
      <c r="U42" s="215">
        <v>22.62</v>
      </c>
      <c r="V42" s="215">
        <v>21.94</v>
      </c>
      <c r="W42" s="215">
        <v>22.56</v>
      </c>
      <c r="X42" s="215">
        <v>22.57</v>
      </c>
      <c r="Y42" s="215">
        <v>19.82</v>
      </c>
      <c r="Z42" s="215">
        <v>19.989999999999998</v>
      </c>
      <c r="AA42" s="215">
        <v>20.64</v>
      </c>
      <c r="AB42" s="215">
        <v>21.57</v>
      </c>
      <c r="AC42" s="215">
        <v>21.56</v>
      </c>
      <c r="AD42" s="215">
        <v>22.1</v>
      </c>
      <c r="AE42" s="215">
        <v>22.54</v>
      </c>
      <c r="AF42" s="215">
        <v>21.64</v>
      </c>
      <c r="AG42" s="215">
        <v>21.71</v>
      </c>
      <c r="AH42" s="215">
        <v>21.73</v>
      </c>
      <c r="AI42" s="215">
        <v>21.04</v>
      </c>
      <c r="AJ42" s="215">
        <v>21.37</v>
      </c>
      <c r="AK42" s="215">
        <v>22.27</v>
      </c>
      <c r="AL42" s="215">
        <v>19.68</v>
      </c>
      <c r="AM42" s="215">
        <v>19.75</v>
      </c>
      <c r="AN42" s="215">
        <v>19.78</v>
      </c>
      <c r="AO42" s="215">
        <v>20.100000000000001</v>
      </c>
      <c r="AP42" s="215">
        <v>20.48</v>
      </c>
      <c r="AQ42" s="215">
        <v>18.34</v>
      </c>
      <c r="AR42" s="215">
        <v>20.23</v>
      </c>
      <c r="AS42" s="215">
        <v>20.43</v>
      </c>
      <c r="AT42" s="215">
        <v>20.420000000000002</v>
      </c>
      <c r="AU42" s="215">
        <v>19.96</v>
      </c>
      <c r="AV42" s="215">
        <v>19.41</v>
      </c>
      <c r="AW42" s="215">
        <v>19.559999999999999</v>
      </c>
      <c r="AX42" s="215">
        <v>18.41</v>
      </c>
      <c r="AY42" s="215">
        <v>19.98</v>
      </c>
      <c r="AZ42" s="215">
        <v>20.100000000000001</v>
      </c>
      <c r="BA42" s="215">
        <v>20.93</v>
      </c>
      <c r="BB42" s="215">
        <v>21.28</v>
      </c>
      <c r="BC42" s="215">
        <v>20.350000000000001</v>
      </c>
      <c r="BD42" s="215">
        <v>22.15</v>
      </c>
      <c r="BE42" s="215">
        <v>22.69</v>
      </c>
      <c r="BF42" s="215">
        <v>22.83</v>
      </c>
      <c r="BG42" s="215">
        <v>23.05</v>
      </c>
      <c r="BH42" s="215">
        <v>22.79</v>
      </c>
      <c r="BI42" s="215">
        <v>21.72</v>
      </c>
      <c r="BJ42" s="215">
        <v>22.08</v>
      </c>
      <c r="BK42" s="215">
        <v>23.89</v>
      </c>
      <c r="BL42" s="215">
        <v>19.53</v>
      </c>
      <c r="BM42" s="215">
        <v>15.82</v>
      </c>
      <c r="BN42" s="215">
        <v>17.329999999999998</v>
      </c>
      <c r="BO42" s="215">
        <v>18.100000000000001</v>
      </c>
      <c r="BP42" s="215">
        <v>16.86</v>
      </c>
      <c r="BQ42" s="215">
        <v>17.63</v>
      </c>
      <c r="BR42" s="215">
        <v>17.75</v>
      </c>
      <c r="BS42" s="215">
        <v>17.04</v>
      </c>
      <c r="BT42" s="215">
        <v>17.809999999999999</v>
      </c>
      <c r="BU42" s="215">
        <v>17.149999999999999</v>
      </c>
      <c r="BV42" s="215">
        <v>16.12</v>
      </c>
      <c r="BW42" s="215">
        <v>16.14</v>
      </c>
      <c r="BX42" s="215">
        <v>14.37</v>
      </c>
      <c r="BY42" s="215">
        <v>16.440000000000001</v>
      </c>
      <c r="BZ42" s="215">
        <v>17.02</v>
      </c>
      <c r="CA42" s="215">
        <v>16.45</v>
      </c>
      <c r="CB42" s="215">
        <v>17.39</v>
      </c>
      <c r="CC42" s="215">
        <v>17.09</v>
      </c>
      <c r="CD42" s="215">
        <v>16.690000000000001</v>
      </c>
      <c r="CE42" s="215">
        <v>15.78</v>
      </c>
      <c r="CF42" s="215">
        <v>16.12</v>
      </c>
      <c r="CG42" s="215">
        <v>15.16</v>
      </c>
      <c r="CH42" s="215">
        <v>16.64</v>
      </c>
      <c r="CI42" s="215">
        <v>16.8</v>
      </c>
      <c r="CJ42" s="215">
        <v>17.010000000000002</v>
      </c>
      <c r="CK42" s="215">
        <v>19.82</v>
      </c>
      <c r="CL42" s="215">
        <v>18.97</v>
      </c>
      <c r="CM42" s="215">
        <v>19.11</v>
      </c>
      <c r="CN42" s="215">
        <v>17.54</v>
      </c>
      <c r="CO42" s="215">
        <v>19.53</v>
      </c>
      <c r="CP42" s="215">
        <v>19.600000000000001</v>
      </c>
      <c r="CQ42" s="215">
        <v>17.78</v>
      </c>
      <c r="CR42" s="215">
        <v>17.91</v>
      </c>
      <c r="CS42" s="215">
        <v>19.21</v>
      </c>
      <c r="CT42" s="215">
        <v>18.05</v>
      </c>
      <c r="CU42" s="215">
        <v>19.18</v>
      </c>
      <c r="CV42" s="215">
        <v>16.670000000000002</v>
      </c>
      <c r="CW42" s="215">
        <v>16.8</v>
      </c>
      <c r="CX42" s="215">
        <v>17.27</v>
      </c>
      <c r="CY42" s="215">
        <v>16.670000000000002</v>
      </c>
      <c r="CZ42" s="215">
        <v>16.57</v>
      </c>
      <c r="DA42" s="215">
        <v>17.32</v>
      </c>
      <c r="DB42" s="215">
        <v>16.18</v>
      </c>
      <c r="DC42" s="215">
        <v>15.66</v>
      </c>
      <c r="DD42" s="215">
        <v>16.010000000000002</v>
      </c>
      <c r="DE42" s="215">
        <v>18.07</v>
      </c>
      <c r="DF42" s="215">
        <v>19.48</v>
      </c>
      <c r="DG42" s="215">
        <v>17.2</v>
      </c>
      <c r="DH42" s="215">
        <v>15.08</v>
      </c>
      <c r="DI42" s="215">
        <v>15.36</v>
      </c>
      <c r="DJ42" s="215">
        <v>15.33</v>
      </c>
      <c r="DK42" s="215">
        <v>15.97</v>
      </c>
      <c r="DL42" s="215">
        <v>15.76</v>
      </c>
      <c r="DM42" s="215">
        <v>16.28</v>
      </c>
      <c r="DN42" s="215">
        <v>16.43</v>
      </c>
      <c r="DO42" s="215">
        <v>17.010000000000002</v>
      </c>
      <c r="DP42" s="215">
        <v>17.190000000000001</v>
      </c>
      <c r="DQ42" s="215">
        <v>18.48</v>
      </c>
      <c r="DR42" s="215">
        <v>17.39</v>
      </c>
      <c r="DS42" s="215">
        <v>16.760000000000002</v>
      </c>
      <c r="DT42" s="215">
        <v>15.15</v>
      </c>
      <c r="DU42" s="215">
        <v>15.45</v>
      </c>
      <c r="DV42" s="215">
        <v>16.3</v>
      </c>
      <c r="DW42" s="215">
        <v>17.04</v>
      </c>
      <c r="DX42" s="215">
        <v>16.46</v>
      </c>
      <c r="DY42" s="215">
        <v>17.87</v>
      </c>
      <c r="DZ42" s="215">
        <v>17.559999999999999</v>
      </c>
      <c r="EA42" s="215">
        <v>19.38</v>
      </c>
      <c r="EB42" s="215">
        <v>19.71</v>
      </c>
      <c r="EC42" s="215">
        <v>19.64</v>
      </c>
      <c r="ED42" s="215">
        <v>18.39</v>
      </c>
      <c r="EE42" s="215">
        <v>17.89</v>
      </c>
      <c r="EF42" s="215">
        <v>18.899999999999999</v>
      </c>
      <c r="EG42" s="215">
        <v>18.7</v>
      </c>
    </row>
    <row r="43" spans="1:137" x14ac:dyDescent="0.3">
      <c r="A43" s="210" t="s">
        <v>998</v>
      </c>
      <c r="B43" s="214" t="s">
        <v>205</v>
      </c>
      <c r="C43" s="215">
        <v>33.33</v>
      </c>
      <c r="D43" s="215">
        <v>32.46</v>
      </c>
      <c r="E43" s="215">
        <v>32.450000000000003</v>
      </c>
      <c r="F43" s="215">
        <v>32.32</v>
      </c>
      <c r="G43" s="215">
        <v>27.37</v>
      </c>
      <c r="H43" s="215">
        <v>26.04</v>
      </c>
      <c r="I43" s="215">
        <v>25.54</v>
      </c>
      <c r="J43" s="215">
        <v>26.28</v>
      </c>
      <c r="K43" s="215">
        <v>23.97</v>
      </c>
      <c r="L43" s="215">
        <v>25.96</v>
      </c>
      <c r="M43" s="215">
        <v>28.71</v>
      </c>
      <c r="N43" s="215">
        <v>27.1</v>
      </c>
      <c r="O43" s="215">
        <v>26.07</v>
      </c>
      <c r="P43" s="215">
        <v>27.21</v>
      </c>
      <c r="Q43" s="215">
        <v>26.51</v>
      </c>
      <c r="R43" s="215">
        <v>27.21</v>
      </c>
      <c r="S43" s="215">
        <v>29.55</v>
      </c>
      <c r="T43" s="215">
        <v>31.24</v>
      </c>
      <c r="U43" s="215">
        <v>32.159999999999997</v>
      </c>
      <c r="V43" s="215">
        <v>40.25</v>
      </c>
      <c r="W43" s="215">
        <v>41.64</v>
      </c>
      <c r="X43" s="215">
        <v>40.74</v>
      </c>
      <c r="Y43" s="215">
        <v>39.44</v>
      </c>
      <c r="Z43" s="215">
        <v>39.909999999999997</v>
      </c>
      <c r="AA43" s="215">
        <v>40.33</v>
      </c>
      <c r="AB43" s="215">
        <v>41.46</v>
      </c>
      <c r="AC43" s="215">
        <v>41.38</v>
      </c>
      <c r="AD43" s="215">
        <v>41.83</v>
      </c>
      <c r="AE43" s="215">
        <v>35.869999999999997</v>
      </c>
      <c r="AF43" s="215">
        <v>34.31</v>
      </c>
      <c r="AG43" s="215">
        <v>33.51</v>
      </c>
      <c r="AH43" s="215">
        <v>25.96</v>
      </c>
      <c r="AI43" s="215">
        <v>24.66</v>
      </c>
      <c r="AJ43" s="215">
        <v>23.99</v>
      </c>
      <c r="AK43" s="215">
        <v>24.38</v>
      </c>
      <c r="AL43" s="215">
        <v>23.11</v>
      </c>
      <c r="AM43" s="215">
        <v>21.69</v>
      </c>
      <c r="AN43" s="215">
        <v>21.81</v>
      </c>
      <c r="AO43" s="215">
        <v>23.42</v>
      </c>
      <c r="AP43" s="215">
        <v>23.52</v>
      </c>
      <c r="AQ43" s="215">
        <v>23.16</v>
      </c>
      <c r="AR43" s="215">
        <v>24.32</v>
      </c>
      <c r="AS43" s="215">
        <v>25.3</v>
      </c>
      <c r="AT43" s="215">
        <v>30.3</v>
      </c>
      <c r="AU43" s="215">
        <v>31.13</v>
      </c>
      <c r="AV43" s="215">
        <v>30.8</v>
      </c>
      <c r="AW43" s="215">
        <v>28.52</v>
      </c>
      <c r="AX43" s="215">
        <v>28.05</v>
      </c>
      <c r="AY43" s="215">
        <v>27.78</v>
      </c>
      <c r="AZ43" s="215">
        <v>29.06</v>
      </c>
      <c r="BA43" s="215">
        <v>31.5</v>
      </c>
      <c r="BB43" s="215">
        <v>32.4</v>
      </c>
      <c r="BC43" s="215">
        <v>34.54</v>
      </c>
      <c r="BD43" s="215">
        <v>36.700000000000003</v>
      </c>
      <c r="BE43" s="215">
        <v>37.35</v>
      </c>
      <c r="BF43" s="215">
        <v>34.409999999999997</v>
      </c>
      <c r="BG43" s="215">
        <v>35.4</v>
      </c>
      <c r="BH43" s="215">
        <v>36</v>
      </c>
      <c r="BI43" s="215">
        <v>31.48</v>
      </c>
      <c r="BJ43" s="215">
        <v>32.26</v>
      </c>
      <c r="BK43" s="215">
        <v>33.4</v>
      </c>
      <c r="BL43" s="215">
        <v>33.799999999999997</v>
      </c>
      <c r="BM43" s="215">
        <v>26.12</v>
      </c>
      <c r="BN43" s="215">
        <v>26.91</v>
      </c>
      <c r="BO43" s="215">
        <v>28.46</v>
      </c>
      <c r="BP43" s="215">
        <v>28.77</v>
      </c>
      <c r="BQ43" s="215">
        <v>28.36</v>
      </c>
      <c r="BR43" s="215">
        <v>25.7</v>
      </c>
      <c r="BS43" s="215">
        <v>23.57</v>
      </c>
      <c r="BT43" s="215">
        <v>25.11</v>
      </c>
      <c r="BU43" s="215">
        <v>26.97</v>
      </c>
      <c r="BV43" s="215">
        <v>26.6</v>
      </c>
      <c r="BW43" s="215">
        <v>25.3</v>
      </c>
      <c r="BX43" s="215">
        <v>25.39</v>
      </c>
      <c r="BY43" s="215">
        <v>23.33</v>
      </c>
      <c r="BZ43" s="215">
        <v>25.01</v>
      </c>
      <c r="CA43" s="215">
        <v>21.45</v>
      </c>
      <c r="CB43" s="215">
        <v>21.17</v>
      </c>
      <c r="CC43" s="215">
        <v>20.3</v>
      </c>
      <c r="CD43" s="215">
        <v>20.96</v>
      </c>
      <c r="CE43" s="215">
        <v>20.98</v>
      </c>
      <c r="CF43" s="215">
        <v>20.38</v>
      </c>
      <c r="CG43" s="215">
        <v>19.98</v>
      </c>
      <c r="CH43" s="215">
        <v>20.43</v>
      </c>
      <c r="CI43" s="215">
        <v>21.75</v>
      </c>
      <c r="CJ43" s="215">
        <v>22.11</v>
      </c>
      <c r="CK43" s="215">
        <v>27.14</v>
      </c>
      <c r="CL43" s="215">
        <v>29.13</v>
      </c>
      <c r="CM43" s="215">
        <v>28.4</v>
      </c>
      <c r="CN43" s="215">
        <v>26.54</v>
      </c>
      <c r="CO43" s="215">
        <v>26.72</v>
      </c>
      <c r="CP43" s="215">
        <v>28.71</v>
      </c>
      <c r="CQ43" s="215">
        <v>28.65</v>
      </c>
      <c r="CR43" s="215">
        <v>25.39</v>
      </c>
      <c r="CS43" s="215">
        <v>26.86</v>
      </c>
      <c r="CT43" s="215">
        <v>27.53</v>
      </c>
      <c r="CU43" s="215">
        <v>27.15</v>
      </c>
      <c r="CV43" s="215">
        <v>26.86</v>
      </c>
      <c r="CW43" s="215">
        <v>25.92</v>
      </c>
      <c r="CX43" s="215">
        <v>27.38</v>
      </c>
      <c r="CY43" s="215">
        <v>24.85</v>
      </c>
      <c r="CZ43" s="215">
        <v>24.07</v>
      </c>
      <c r="DA43" s="215">
        <v>24.31</v>
      </c>
      <c r="DB43" s="215">
        <v>22.97</v>
      </c>
      <c r="DC43" s="215">
        <v>22.81</v>
      </c>
      <c r="DD43" s="215">
        <v>22.08</v>
      </c>
      <c r="DE43" s="215">
        <v>23.08</v>
      </c>
      <c r="DF43" s="215">
        <v>23.69</v>
      </c>
      <c r="DG43" s="215">
        <v>23.61</v>
      </c>
      <c r="DH43" s="215">
        <v>22.54</v>
      </c>
      <c r="DI43" s="215">
        <v>22.06</v>
      </c>
      <c r="DJ43" s="215">
        <v>22.02</v>
      </c>
      <c r="DK43" s="215">
        <v>25.7</v>
      </c>
      <c r="DL43" s="215">
        <v>26.15</v>
      </c>
      <c r="DM43" s="215">
        <v>26.63</v>
      </c>
      <c r="DN43" s="215">
        <v>29.51</v>
      </c>
      <c r="DO43" s="215">
        <v>30.83</v>
      </c>
      <c r="DP43" s="215">
        <v>31.16</v>
      </c>
      <c r="DQ43" s="215">
        <v>35.340000000000003</v>
      </c>
      <c r="DR43" s="215">
        <v>34.619999999999997</v>
      </c>
      <c r="DS43" s="215">
        <v>32.47</v>
      </c>
      <c r="DT43" s="215">
        <v>31.62</v>
      </c>
      <c r="DU43" s="215">
        <v>26.53</v>
      </c>
      <c r="DV43" s="215">
        <v>26.75</v>
      </c>
      <c r="DW43" s="215">
        <v>28.89</v>
      </c>
      <c r="DX43" s="215">
        <v>28.47</v>
      </c>
      <c r="DY43" s="215">
        <v>29.13</v>
      </c>
      <c r="DZ43" s="215">
        <v>30.05</v>
      </c>
      <c r="EA43" s="215">
        <v>30.6</v>
      </c>
      <c r="EB43" s="215">
        <v>33.49</v>
      </c>
      <c r="EC43" s="215">
        <v>33.270000000000003</v>
      </c>
      <c r="ED43" s="215">
        <v>31.86</v>
      </c>
      <c r="EE43" s="215">
        <v>31.62</v>
      </c>
      <c r="EF43" s="215">
        <v>33.520000000000003</v>
      </c>
      <c r="EG43" s="215">
        <v>41.69</v>
      </c>
    </row>
    <row r="44" spans="1:137" x14ac:dyDescent="0.3">
      <c r="A44" s="210" t="s">
        <v>190</v>
      </c>
      <c r="B44" s="214" t="s">
        <v>985</v>
      </c>
      <c r="C44" s="215">
        <v>34.11</v>
      </c>
      <c r="D44" s="215">
        <v>33.729999999999997</v>
      </c>
      <c r="E44" s="215">
        <v>33.49</v>
      </c>
      <c r="F44" s="215">
        <v>32.94</v>
      </c>
      <c r="G44" s="215">
        <v>32.14</v>
      </c>
      <c r="H44" s="215">
        <v>27.2</v>
      </c>
      <c r="I44" s="215">
        <v>26.26</v>
      </c>
      <c r="J44" s="215">
        <v>27.56</v>
      </c>
      <c r="K44" s="215">
        <v>25.06</v>
      </c>
      <c r="L44" s="215">
        <v>26.56</v>
      </c>
      <c r="M44" s="215">
        <v>30.06</v>
      </c>
      <c r="N44" s="215">
        <v>28.51</v>
      </c>
      <c r="O44" s="215">
        <v>26.99</v>
      </c>
      <c r="P44" s="215">
        <v>28.18</v>
      </c>
      <c r="Q44" s="215">
        <v>27.44</v>
      </c>
      <c r="R44" s="215">
        <v>27.9</v>
      </c>
      <c r="S44" s="215">
        <v>30.48</v>
      </c>
      <c r="T44" s="215">
        <v>32.450000000000003</v>
      </c>
      <c r="U44" s="215">
        <v>32.58</v>
      </c>
      <c r="V44" s="215">
        <v>43.01</v>
      </c>
      <c r="W44" s="215">
        <v>43.2</v>
      </c>
      <c r="X44" s="215">
        <v>41.77</v>
      </c>
      <c r="Y44" s="215">
        <v>41.22</v>
      </c>
      <c r="Z44" s="215">
        <v>41.06</v>
      </c>
      <c r="AA44" s="215">
        <v>40.99</v>
      </c>
      <c r="AB44" s="215">
        <v>43.08</v>
      </c>
      <c r="AC44" s="215">
        <v>42.16</v>
      </c>
      <c r="AD44" s="215">
        <v>42.58</v>
      </c>
      <c r="AE44" s="215">
        <v>42.04</v>
      </c>
      <c r="AF44" s="215">
        <v>35.049999999999997</v>
      </c>
      <c r="AG44" s="215">
        <v>34.29</v>
      </c>
      <c r="AH44" s="215">
        <v>34.619999999999997</v>
      </c>
      <c r="AI44" s="215">
        <v>25.24</v>
      </c>
      <c r="AJ44" s="215">
        <v>24.38</v>
      </c>
      <c r="AK44" s="215">
        <v>24.87</v>
      </c>
      <c r="AL44" s="215">
        <v>24.52</v>
      </c>
      <c r="AM44" s="215">
        <v>22.08</v>
      </c>
      <c r="AN44" s="215">
        <v>23.36</v>
      </c>
      <c r="AO44" s="215">
        <v>24</v>
      </c>
      <c r="AP44" s="215">
        <v>23.91</v>
      </c>
      <c r="AQ44" s="215">
        <v>24.23</v>
      </c>
      <c r="AR44" s="215">
        <v>25.65</v>
      </c>
      <c r="AS44" s="215">
        <v>25.78</v>
      </c>
      <c r="AT44" s="215">
        <v>31.39</v>
      </c>
      <c r="AU44" s="215">
        <v>31.9</v>
      </c>
      <c r="AV44" s="215">
        <v>31.3</v>
      </c>
      <c r="AW44" s="215">
        <v>30.38</v>
      </c>
      <c r="AX44" s="215">
        <v>29.27</v>
      </c>
      <c r="AY44" s="215">
        <v>28.9</v>
      </c>
      <c r="AZ44" s="215">
        <v>30.63</v>
      </c>
      <c r="BA44" s="215">
        <v>32.06</v>
      </c>
      <c r="BB44" s="215">
        <v>33.020000000000003</v>
      </c>
      <c r="BC44" s="215">
        <v>36.49</v>
      </c>
      <c r="BD44" s="215">
        <v>37.869999999999997</v>
      </c>
      <c r="BE44" s="215">
        <v>37.909999999999997</v>
      </c>
      <c r="BF44" s="215">
        <v>36.43</v>
      </c>
      <c r="BG44" s="215">
        <v>36.57</v>
      </c>
      <c r="BH44" s="215">
        <v>36.68</v>
      </c>
      <c r="BI44" s="215">
        <v>31.95</v>
      </c>
      <c r="BJ44" s="215">
        <v>32.85</v>
      </c>
      <c r="BK44" s="215">
        <v>34.82</v>
      </c>
      <c r="BL44" s="215">
        <v>34.799999999999997</v>
      </c>
      <c r="BM44" s="215">
        <v>32.85</v>
      </c>
      <c r="BN44" s="215">
        <v>29.01</v>
      </c>
      <c r="BO44" s="215">
        <v>29.49</v>
      </c>
      <c r="BP44" s="215">
        <v>31.2</v>
      </c>
      <c r="BQ44" s="215">
        <v>29.6</v>
      </c>
      <c r="BR44" s="215">
        <v>28.94</v>
      </c>
      <c r="BS44" s="215">
        <v>24.66</v>
      </c>
      <c r="BT44" s="215">
        <v>26.51</v>
      </c>
      <c r="BU44" s="215">
        <v>28.17</v>
      </c>
      <c r="BV44" s="215">
        <v>27.35</v>
      </c>
      <c r="BW44" s="215">
        <v>26.1</v>
      </c>
      <c r="BX44" s="215">
        <v>26.28</v>
      </c>
      <c r="BY44" s="215">
        <v>24.42</v>
      </c>
      <c r="BZ44" s="215">
        <v>25.76</v>
      </c>
      <c r="CA44" s="215">
        <v>25.43</v>
      </c>
      <c r="CB44" s="215">
        <v>22.12</v>
      </c>
      <c r="CC44" s="215">
        <v>20.7</v>
      </c>
      <c r="CD44" s="215">
        <v>21.33</v>
      </c>
      <c r="CE44" s="215">
        <v>21.79</v>
      </c>
      <c r="CF44" s="215">
        <v>20.94</v>
      </c>
      <c r="CG44" s="215">
        <v>20.54</v>
      </c>
      <c r="CH44" s="215">
        <v>21.21</v>
      </c>
      <c r="CI44" s="215">
        <v>22.16</v>
      </c>
      <c r="CJ44" s="215">
        <v>25</v>
      </c>
      <c r="CK44" s="215">
        <v>29.15</v>
      </c>
      <c r="CL44" s="215">
        <v>29.94</v>
      </c>
      <c r="CM44" s="215">
        <v>29.19</v>
      </c>
      <c r="CN44" s="215">
        <v>28.66</v>
      </c>
      <c r="CO44" s="215">
        <v>29.03</v>
      </c>
      <c r="CP44" s="215">
        <v>29.42</v>
      </c>
      <c r="CQ44" s="215">
        <v>30.32</v>
      </c>
      <c r="CR44" s="215">
        <v>27.21</v>
      </c>
      <c r="CS44" s="215">
        <v>28.5</v>
      </c>
      <c r="CT44" s="215">
        <v>28.67</v>
      </c>
      <c r="CU44" s="215">
        <v>27.79</v>
      </c>
      <c r="CV44" s="215">
        <v>27.63</v>
      </c>
      <c r="CW44" s="215">
        <v>26.71</v>
      </c>
      <c r="CX44" s="215">
        <v>27.91</v>
      </c>
      <c r="CY44" s="215">
        <v>27.64</v>
      </c>
      <c r="CZ44" s="215">
        <v>24.5</v>
      </c>
      <c r="DA44" s="215">
        <v>24.97</v>
      </c>
      <c r="DB44" s="215">
        <v>24.19</v>
      </c>
      <c r="DC44" s="215">
        <v>23.6</v>
      </c>
      <c r="DD44" s="215">
        <v>22.76</v>
      </c>
      <c r="DE44" s="215">
        <v>23.61</v>
      </c>
      <c r="DF44" s="215">
        <v>24.5</v>
      </c>
      <c r="DG44" s="215">
        <v>24.65</v>
      </c>
      <c r="DH44" s="215">
        <v>23.17</v>
      </c>
      <c r="DI44" s="215">
        <v>22.69</v>
      </c>
      <c r="DJ44" s="215">
        <v>22.6</v>
      </c>
      <c r="DK44" s="215">
        <v>27.03</v>
      </c>
      <c r="DL44" s="215">
        <v>26.61</v>
      </c>
      <c r="DM44" s="215">
        <v>27.66</v>
      </c>
      <c r="DN44" s="215">
        <v>30.57</v>
      </c>
      <c r="DO44" s="215">
        <v>31.26</v>
      </c>
      <c r="DP44" s="215">
        <v>31.98</v>
      </c>
      <c r="DQ44" s="215">
        <v>37.11</v>
      </c>
      <c r="DR44" s="215">
        <v>36.06</v>
      </c>
      <c r="DS44" s="215">
        <v>34.33</v>
      </c>
      <c r="DT44" s="215">
        <v>34.130000000000003</v>
      </c>
      <c r="DU44" s="215">
        <v>27.21</v>
      </c>
      <c r="DV44" s="215">
        <v>28.61</v>
      </c>
      <c r="DW44" s="215">
        <v>29.73</v>
      </c>
      <c r="DX44" s="215">
        <v>29.4</v>
      </c>
      <c r="DY44" s="215">
        <v>30.78</v>
      </c>
      <c r="DZ44" s="215">
        <v>31.27</v>
      </c>
      <c r="EA44" s="215">
        <v>32.799999999999997</v>
      </c>
      <c r="EB44" s="215">
        <v>34.270000000000003</v>
      </c>
      <c r="EC44" s="215">
        <v>33.96</v>
      </c>
      <c r="ED44" s="215">
        <v>32.81</v>
      </c>
      <c r="EE44" s="215">
        <v>33.18</v>
      </c>
      <c r="EF44" s="215">
        <v>42.04</v>
      </c>
      <c r="EG44" s="215">
        <v>41.78</v>
      </c>
    </row>
    <row r="45" spans="1:137" x14ac:dyDescent="0.3">
      <c r="A45" s="210" t="s">
        <v>986</v>
      </c>
      <c r="B45" s="214" t="s">
        <v>987</v>
      </c>
      <c r="C45" s="215">
        <v>32.31</v>
      </c>
      <c r="D45" s="215">
        <v>31.29</v>
      </c>
      <c r="E45" s="215">
        <v>31.65</v>
      </c>
      <c r="F45" s="215">
        <v>31.65</v>
      </c>
      <c r="G45" s="215">
        <v>26.09</v>
      </c>
      <c r="H45" s="215">
        <v>25.01</v>
      </c>
      <c r="I45" s="215">
        <v>24.98</v>
      </c>
      <c r="J45" s="215">
        <v>24.57</v>
      </c>
      <c r="K45" s="215">
        <v>23.34</v>
      </c>
      <c r="L45" s="215">
        <v>24.97</v>
      </c>
      <c r="M45" s="215">
        <v>26.53</v>
      </c>
      <c r="N45" s="215">
        <v>26.01</v>
      </c>
      <c r="O45" s="215">
        <v>24.79</v>
      </c>
      <c r="P45" s="215">
        <v>25.17</v>
      </c>
      <c r="Q45" s="215">
        <v>25.44</v>
      </c>
      <c r="R45" s="215">
        <v>26.47</v>
      </c>
      <c r="S45" s="215">
        <v>27.63</v>
      </c>
      <c r="T45" s="215">
        <v>30.37</v>
      </c>
      <c r="U45" s="215">
        <v>31.56</v>
      </c>
      <c r="V45" s="215">
        <v>31.4</v>
      </c>
      <c r="W45" s="215">
        <v>39.99</v>
      </c>
      <c r="X45" s="215">
        <v>40.04</v>
      </c>
      <c r="Y45" s="215">
        <v>37.42</v>
      </c>
      <c r="Z45" s="215">
        <v>38.97</v>
      </c>
      <c r="AA45" s="215">
        <v>39.82</v>
      </c>
      <c r="AB45" s="215">
        <v>40.06</v>
      </c>
      <c r="AC45" s="215">
        <v>40.5</v>
      </c>
      <c r="AD45" s="215">
        <v>41.02</v>
      </c>
      <c r="AE45" s="215">
        <v>32.979999999999997</v>
      </c>
      <c r="AF45" s="215">
        <v>33.64</v>
      </c>
      <c r="AG45" s="215">
        <v>32.97</v>
      </c>
      <c r="AH45" s="215">
        <v>24.31</v>
      </c>
      <c r="AI45" s="215">
        <v>24</v>
      </c>
      <c r="AJ45" s="215">
        <v>23.54</v>
      </c>
      <c r="AK45" s="215">
        <v>23.73</v>
      </c>
      <c r="AL45" s="215">
        <v>21.76</v>
      </c>
      <c r="AM45" s="215">
        <v>21.26</v>
      </c>
      <c r="AN45" s="215">
        <v>21.03</v>
      </c>
      <c r="AO45" s="215">
        <v>22.74</v>
      </c>
      <c r="AP45" s="215">
        <v>23.21</v>
      </c>
      <c r="AQ45" s="215">
        <v>22.32</v>
      </c>
      <c r="AR45" s="215">
        <v>22.05</v>
      </c>
      <c r="AS45" s="215">
        <v>24.86</v>
      </c>
      <c r="AT45" s="215">
        <v>25.15</v>
      </c>
      <c r="AU45" s="215">
        <v>29.81</v>
      </c>
      <c r="AV45" s="215">
        <v>29.55</v>
      </c>
      <c r="AW45" s="215">
        <v>27.42</v>
      </c>
      <c r="AX45" s="215">
        <v>26.5</v>
      </c>
      <c r="AY45" s="215">
        <v>26.37</v>
      </c>
      <c r="AZ45" s="215">
        <v>28.17</v>
      </c>
      <c r="BA45" s="215">
        <v>30.77</v>
      </c>
      <c r="BB45" s="215">
        <v>31.89</v>
      </c>
      <c r="BC45" s="215">
        <v>32.04</v>
      </c>
      <c r="BD45" s="215">
        <v>35.42</v>
      </c>
      <c r="BE45" s="215">
        <v>36.369999999999997</v>
      </c>
      <c r="BF45" s="215">
        <v>32.74</v>
      </c>
      <c r="BG45" s="215">
        <v>34.74</v>
      </c>
      <c r="BH45" s="215">
        <v>34.979999999999997</v>
      </c>
      <c r="BI45" s="215">
        <v>30.71</v>
      </c>
      <c r="BJ45" s="215">
        <v>31.51</v>
      </c>
      <c r="BK45" s="215">
        <v>31.93</v>
      </c>
      <c r="BL45" s="215">
        <v>31.06</v>
      </c>
      <c r="BM45" s="215">
        <v>19.690000000000001</v>
      </c>
      <c r="BN45" s="215">
        <v>23.05</v>
      </c>
      <c r="BO45" s="215">
        <v>26.65</v>
      </c>
      <c r="BP45" s="215">
        <v>26.07</v>
      </c>
      <c r="BQ45" s="215">
        <v>26.92</v>
      </c>
      <c r="BR45" s="215">
        <v>24.22</v>
      </c>
      <c r="BS45" s="215">
        <v>22.67</v>
      </c>
      <c r="BT45" s="215">
        <v>23.59</v>
      </c>
      <c r="BU45" s="215">
        <v>25.27</v>
      </c>
      <c r="BV45" s="215">
        <v>26.07</v>
      </c>
      <c r="BW45" s="215">
        <v>24.45</v>
      </c>
      <c r="BX45" s="215">
        <v>21.36</v>
      </c>
      <c r="BY45" s="215">
        <v>21.54</v>
      </c>
      <c r="BZ45" s="215">
        <v>24.27</v>
      </c>
      <c r="CA45" s="215">
        <v>20.76</v>
      </c>
      <c r="CB45" s="215">
        <v>20.34</v>
      </c>
      <c r="CC45" s="215">
        <v>19.829999999999998</v>
      </c>
      <c r="CD45" s="215">
        <v>20.100000000000001</v>
      </c>
      <c r="CE45" s="215">
        <v>19.7</v>
      </c>
      <c r="CF45" s="215">
        <v>19.62</v>
      </c>
      <c r="CG45" s="215">
        <v>19.22</v>
      </c>
      <c r="CH45" s="215">
        <v>19.18</v>
      </c>
      <c r="CI45" s="215">
        <v>21.1</v>
      </c>
      <c r="CJ45" s="215">
        <v>21.42</v>
      </c>
      <c r="CK45" s="215">
        <v>25.17</v>
      </c>
      <c r="CL45" s="215">
        <v>27.98</v>
      </c>
      <c r="CM45" s="215">
        <v>27.65</v>
      </c>
      <c r="CN45" s="215">
        <v>24.42</v>
      </c>
      <c r="CO45" s="215">
        <v>25.69</v>
      </c>
      <c r="CP45" s="215">
        <v>27.58</v>
      </c>
      <c r="CQ45" s="215">
        <v>25.88</v>
      </c>
      <c r="CR45" s="215">
        <v>24.12</v>
      </c>
      <c r="CS45" s="215">
        <v>25.67</v>
      </c>
      <c r="CT45" s="215">
        <v>26.5</v>
      </c>
      <c r="CU45" s="215">
        <v>26.15</v>
      </c>
      <c r="CV45" s="215">
        <v>26.19</v>
      </c>
      <c r="CW45" s="215">
        <v>24.68</v>
      </c>
      <c r="CX45" s="215">
        <v>26.43</v>
      </c>
      <c r="CY45" s="215">
        <v>23.58</v>
      </c>
      <c r="CZ45" s="215">
        <v>23.62</v>
      </c>
      <c r="DA45" s="215">
        <v>23.68</v>
      </c>
      <c r="DB45" s="215">
        <v>22.47</v>
      </c>
      <c r="DC45" s="215">
        <v>21.75</v>
      </c>
      <c r="DD45" s="215">
        <v>20.95</v>
      </c>
      <c r="DE45" s="215">
        <v>22.28</v>
      </c>
      <c r="DF45" s="215">
        <v>22.72</v>
      </c>
      <c r="DG45" s="215">
        <v>22.46</v>
      </c>
      <c r="DH45" s="215">
        <v>22.08</v>
      </c>
      <c r="DI45" s="215">
        <v>21.65</v>
      </c>
      <c r="DJ45" s="215">
        <v>20.77</v>
      </c>
      <c r="DK45" s="215">
        <v>22.5</v>
      </c>
      <c r="DL45" s="215">
        <v>25.81</v>
      </c>
      <c r="DM45" s="215">
        <v>25.85</v>
      </c>
      <c r="DN45" s="215">
        <v>27.14</v>
      </c>
      <c r="DO45" s="215">
        <v>30.27</v>
      </c>
      <c r="DP45" s="215">
        <v>30.26</v>
      </c>
      <c r="DQ45" s="215">
        <v>30.06</v>
      </c>
      <c r="DR45" s="215">
        <v>33.32</v>
      </c>
      <c r="DS45" s="215">
        <v>30.13</v>
      </c>
      <c r="DT45" s="215">
        <v>26.74</v>
      </c>
      <c r="DU45" s="215">
        <v>25.68</v>
      </c>
      <c r="DV45" s="215">
        <v>24.14</v>
      </c>
      <c r="DW45" s="215">
        <v>28.21</v>
      </c>
      <c r="DX45" s="215">
        <v>27.8</v>
      </c>
      <c r="DY45" s="215">
        <v>27.94</v>
      </c>
      <c r="DZ45" s="215">
        <v>29.49</v>
      </c>
      <c r="EA45" s="215">
        <v>28.95</v>
      </c>
      <c r="EB45" s="215">
        <v>32.54</v>
      </c>
      <c r="EC45" s="215">
        <v>32.520000000000003</v>
      </c>
      <c r="ED45" s="215">
        <v>31.12</v>
      </c>
      <c r="EE45" s="215">
        <v>30.75</v>
      </c>
      <c r="EF45" s="215">
        <v>30.91</v>
      </c>
      <c r="EG45" s="215">
        <v>41.64</v>
      </c>
    </row>
    <row r="46" spans="1:137" x14ac:dyDescent="0.3">
      <c r="A46" s="210" t="s">
        <v>988</v>
      </c>
      <c r="B46" s="214" t="s">
        <v>989</v>
      </c>
      <c r="C46" s="215">
        <v>33.17</v>
      </c>
      <c r="D46" s="215">
        <v>32.26</v>
      </c>
      <c r="E46" s="215">
        <v>32.5</v>
      </c>
      <c r="F46" s="215">
        <v>31.65</v>
      </c>
      <c r="G46" s="215">
        <v>27.17</v>
      </c>
      <c r="H46" s="215">
        <v>25.01</v>
      </c>
      <c r="I46" s="215">
        <v>25.73</v>
      </c>
      <c r="J46" s="215">
        <v>24.57</v>
      </c>
      <c r="K46" s="215">
        <v>25.06</v>
      </c>
      <c r="L46" s="215">
        <v>26.53</v>
      </c>
      <c r="M46" s="215">
        <v>28.27</v>
      </c>
      <c r="N46" s="215">
        <v>26.78</v>
      </c>
      <c r="O46" s="215">
        <v>26.99</v>
      </c>
      <c r="P46" s="215">
        <v>25.42</v>
      </c>
      <c r="Q46" s="215">
        <v>27.41</v>
      </c>
      <c r="R46" s="215">
        <v>27.23</v>
      </c>
      <c r="S46" s="215">
        <v>30.48</v>
      </c>
      <c r="T46" s="215">
        <v>32.450000000000003</v>
      </c>
      <c r="U46" s="215">
        <v>31.84</v>
      </c>
      <c r="V46" s="215">
        <v>40.81</v>
      </c>
      <c r="W46" s="215">
        <v>41.81</v>
      </c>
      <c r="X46" s="215">
        <v>41.77</v>
      </c>
      <c r="Y46" s="215">
        <v>39.42</v>
      </c>
      <c r="Z46" s="215">
        <v>39.75</v>
      </c>
      <c r="AA46" s="215">
        <v>40.44</v>
      </c>
      <c r="AB46" s="215">
        <v>41.34</v>
      </c>
      <c r="AC46" s="215">
        <v>41.42</v>
      </c>
      <c r="AD46" s="215">
        <v>42.36</v>
      </c>
      <c r="AE46" s="215">
        <v>34.75</v>
      </c>
      <c r="AF46" s="215">
        <v>33.64</v>
      </c>
      <c r="AG46" s="215">
        <v>33.71</v>
      </c>
      <c r="AH46" s="215">
        <v>24.8</v>
      </c>
      <c r="AI46" s="215">
        <v>24</v>
      </c>
      <c r="AJ46" s="215">
        <v>23.91</v>
      </c>
      <c r="AK46" s="215">
        <v>24.62</v>
      </c>
      <c r="AL46" s="215">
        <v>21.76</v>
      </c>
      <c r="AM46" s="215">
        <v>21.78</v>
      </c>
      <c r="AN46" s="215">
        <v>23.14</v>
      </c>
      <c r="AO46" s="215">
        <v>23.61</v>
      </c>
      <c r="AP46" s="215">
        <v>23.74</v>
      </c>
      <c r="AQ46" s="215">
        <v>23.32</v>
      </c>
      <c r="AR46" s="215">
        <v>25.42</v>
      </c>
      <c r="AS46" s="215">
        <v>25.3</v>
      </c>
      <c r="AT46" s="215">
        <v>31.15</v>
      </c>
      <c r="AU46" s="215">
        <v>30.53</v>
      </c>
      <c r="AV46" s="215">
        <v>29.55</v>
      </c>
      <c r="AW46" s="215">
        <v>28.46</v>
      </c>
      <c r="AX46" s="215">
        <v>26.73</v>
      </c>
      <c r="AY46" s="215">
        <v>28.9</v>
      </c>
      <c r="AZ46" s="215">
        <v>30.63</v>
      </c>
      <c r="BA46" s="215">
        <v>32.01</v>
      </c>
      <c r="BB46" s="215">
        <v>32.54</v>
      </c>
      <c r="BC46" s="215">
        <v>35.299999999999997</v>
      </c>
      <c r="BD46" s="215">
        <v>36.909999999999997</v>
      </c>
      <c r="BE46" s="215">
        <v>36.369999999999997</v>
      </c>
      <c r="BF46" s="215">
        <v>35.090000000000003</v>
      </c>
      <c r="BG46" s="215">
        <v>36.57</v>
      </c>
      <c r="BH46" s="215">
        <v>35.81</v>
      </c>
      <c r="BI46" s="215">
        <v>31.82</v>
      </c>
      <c r="BJ46" s="215">
        <v>32.729999999999997</v>
      </c>
      <c r="BK46" s="215">
        <v>34.71</v>
      </c>
      <c r="BL46" s="215">
        <v>31.06</v>
      </c>
      <c r="BM46" s="215">
        <v>25.11</v>
      </c>
      <c r="BN46" s="215">
        <v>27.52</v>
      </c>
      <c r="BO46" s="215">
        <v>29.24</v>
      </c>
      <c r="BP46" s="215">
        <v>27.14</v>
      </c>
      <c r="BQ46" s="215">
        <v>28.81</v>
      </c>
      <c r="BR46" s="215">
        <v>24.49</v>
      </c>
      <c r="BS46" s="215">
        <v>23.44</v>
      </c>
      <c r="BT46" s="215">
        <v>24.82</v>
      </c>
      <c r="BU46" s="215">
        <v>26.42</v>
      </c>
      <c r="BV46" s="215">
        <v>26.4</v>
      </c>
      <c r="BW46" s="215">
        <v>25.64</v>
      </c>
      <c r="BX46" s="215">
        <v>21.36</v>
      </c>
      <c r="BY46" s="215">
        <v>24.42</v>
      </c>
      <c r="BZ46" s="215">
        <v>25.34</v>
      </c>
      <c r="CA46" s="215">
        <v>20.81</v>
      </c>
      <c r="CB46" s="215">
        <v>20.34</v>
      </c>
      <c r="CC46" s="215">
        <v>20.059999999999999</v>
      </c>
      <c r="CD46" s="215">
        <v>21.09</v>
      </c>
      <c r="CE46" s="215">
        <v>20.16</v>
      </c>
      <c r="CF46" s="215">
        <v>20.34</v>
      </c>
      <c r="CG46" s="215">
        <v>19.22</v>
      </c>
      <c r="CH46" s="215">
        <v>21.21</v>
      </c>
      <c r="CI46" s="215">
        <v>22.15</v>
      </c>
      <c r="CJ46" s="215">
        <v>25</v>
      </c>
      <c r="CK46" s="215">
        <v>29.15</v>
      </c>
      <c r="CL46" s="215">
        <v>27.98</v>
      </c>
      <c r="CM46" s="215">
        <v>28.69</v>
      </c>
      <c r="CN46" s="215">
        <v>26.31</v>
      </c>
      <c r="CO46" s="215">
        <v>29.03</v>
      </c>
      <c r="CP46" s="215">
        <v>28.47</v>
      </c>
      <c r="CQ46" s="215">
        <v>25.88</v>
      </c>
      <c r="CR46" s="215">
        <v>26.05</v>
      </c>
      <c r="CS46" s="215">
        <v>28.5</v>
      </c>
      <c r="CT46" s="215">
        <v>26.5</v>
      </c>
      <c r="CU46" s="215">
        <v>27.49</v>
      </c>
      <c r="CV46" s="215">
        <v>26.49</v>
      </c>
      <c r="CW46" s="215">
        <v>26.71</v>
      </c>
      <c r="CX46" s="215">
        <v>27.47</v>
      </c>
      <c r="CY46" s="215">
        <v>23.58</v>
      </c>
      <c r="CZ46" s="215">
        <v>23.92</v>
      </c>
      <c r="DA46" s="215">
        <v>24.49</v>
      </c>
      <c r="DB46" s="215">
        <v>22.54</v>
      </c>
      <c r="DC46" s="215">
        <v>21.83</v>
      </c>
      <c r="DD46" s="215">
        <v>22.47</v>
      </c>
      <c r="DE46" s="215">
        <v>23.34</v>
      </c>
      <c r="DF46" s="215">
        <v>23.94</v>
      </c>
      <c r="DG46" s="215">
        <v>22.92</v>
      </c>
      <c r="DH46" s="215">
        <v>22.08</v>
      </c>
      <c r="DI46" s="215">
        <v>22.46</v>
      </c>
      <c r="DJ46" s="215">
        <v>22.4</v>
      </c>
      <c r="DK46" s="215">
        <v>26.56</v>
      </c>
      <c r="DL46" s="215">
        <v>26.23</v>
      </c>
      <c r="DM46" s="215">
        <v>27.61</v>
      </c>
      <c r="DN46" s="215">
        <v>30.57</v>
      </c>
      <c r="DO46" s="215">
        <v>31.11</v>
      </c>
      <c r="DP46" s="215">
        <v>31.02</v>
      </c>
      <c r="DQ46" s="215">
        <v>36.68</v>
      </c>
      <c r="DR46" s="215">
        <v>34.35</v>
      </c>
      <c r="DS46" s="215">
        <v>32.47</v>
      </c>
      <c r="DT46" s="215">
        <v>27.09</v>
      </c>
      <c r="DU46" s="215">
        <v>27.01</v>
      </c>
      <c r="DV46" s="215">
        <v>28.11</v>
      </c>
      <c r="DW46" s="215">
        <v>29.61</v>
      </c>
      <c r="DX46" s="215">
        <v>28.55</v>
      </c>
      <c r="DY46" s="215">
        <v>30.78</v>
      </c>
      <c r="DZ46" s="215">
        <v>30.1</v>
      </c>
      <c r="EA46" s="215">
        <v>32.799999999999997</v>
      </c>
      <c r="EB46" s="215">
        <v>33.520000000000003</v>
      </c>
      <c r="EC46" s="215">
        <v>33.96</v>
      </c>
      <c r="ED46" s="215">
        <v>31.66</v>
      </c>
      <c r="EE46" s="215">
        <v>31.2</v>
      </c>
      <c r="EF46" s="215">
        <v>42.04</v>
      </c>
      <c r="EG46" s="215">
        <v>41.66</v>
      </c>
    </row>
    <row r="47" spans="1:137" x14ac:dyDescent="0.3">
      <c r="A47" s="210" t="s">
        <v>999</v>
      </c>
      <c r="B47" s="214" t="s">
        <v>205</v>
      </c>
      <c r="C47" s="215">
        <v>2.44</v>
      </c>
      <c r="D47" s="215">
        <v>2.38</v>
      </c>
      <c r="E47" s="215">
        <v>2.37</v>
      </c>
      <c r="F47" s="215">
        <v>2.36</v>
      </c>
      <c r="G47" s="215">
        <v>2.29</v>
      </c>
      <c r="H47" s="215">
        <v>2.2200000000000002</v>
      </c>
      <c r="I47" s="215">
        <v>2.1800000000000002</v>
      </c>
      <c r="J47" s="215">
        <v>2.16</v>
      </c>
      <c r="K47" s="215">
        <v>1.97</v>
      </c>
      <c r="L47" s="215">
        <v>2.13</v>
      </c>
      <c r="M47" s="215">
        <v>2.16</v>
      </c>
      <c r="N47" s="215">
        <v>2.0299999999999998</v>
      </c>
      <c r="O47" s="215">
        <v>1.96</v>
      </c>
      <c r="P47" s="215">
        <v>2.0499999999999998</v>
      </c>
      <c r="Q47" s="215">
        <v>2.12</v>
      </c>
      <c r="R47" s="215">
        <v>2.17</v>
      </c>
      <c r="S47" s="215">
        <v>2.19</v>
      </c>
      <c r="T47" s="215">
        <v>2.29</v>
      </c>
      <c r="U47" s="215">
        <v>2.36</v>
      </c>
      <c r="V47" s="215">
        <v>2.27</v>
      </c>
      <c r="W47" s="215">
        <v>2.27</v>
      </c>
      <c r="X47" s="215">
        <v>2.2200000000000002</v>
      </c>
      <c r="Y47" s="215">
        <v>2.0299999999999998</v>
      </c>
      <c r="Z47" s="215">
        <v>2.0499999999999998</v>
      </c>
      <c r="AA47" s="215">
        <v>2.0699999999999998</v>
      </c>
      <c r="AB47" s="215">
        <v>2.13</v>
      </c>
      <c r="AC47" s="215">
        <v>2.13</v>
      </c>
      <c r="AD47" s="215">
        <v>2.16</v>
      </c>
      <c r="AE47" s="215">
        <v>2.14</v>
      </c>
      <c r="AF47" s="215">
        <v>2.1800000000000002</v>
      </c>
      <c r="AG47" s="215">
        <v>2.13</v>
      </c>
      <c r="AH47" s="215">
        <v>2.21</v>
      </c>
      <c r="AI47" s="215">
        <v>2.21</v>
      </c>
      <c r="AJ47" s="215">
        <v>2.16</v>
      </c>
      <c r="AK47" s="215">
        <v>2.27</v>
      </c>
      <c r="AL47" s="215">
        <v>2.15</v>
      </c>
      <c r="AM47" s="215">
        <v>2.02</v>
      </c>
      <c r="AN47" s="215">
        <v>2.0299999999999998</v>
      </c>
      <c r="AO47" s="215">
        <v>2.19</v>
      </c>
      <c r="AP47" s="215">
        <v>2.2000000000000002</v>
      </c>
      <c r="AQ47" s="215">
        <v>2.0099999999999998</v>
      </c>
      <c r="AR47" s="215">
        <v>2.0699999999999998</v>
      </c>
      <c r="AS47" s="215">
        <v>2.16</v>
      </c>
      <c r="AT47" s="215">
        <v>2.2200000000000002</v>
      </c>
      <c r="AU47" s="215">
        <v>2.23</v>
      </c>
      <c r="AV47" s="215">
        <v>2.21</v>
      </c>
      <c r="AW47" s="215">
        <v>2.17</v>
      </c>
      <c r="AX47" s="215">
        <v>2.17</v>
      </c>
      <c r="AY47" s="215">
        <v>2.15</v>
      </c>
      <c r="AZ47" s="215">
        <v>2.2200000000000002</v>
      </c>
      <c r="BA47" s="215">
        <v>2.2799999999999998</v>
      </c>
      <c r="BB47" s="215">
        <v>2.34</v>
      </c>
      <c r="BC47" s="215">
        <v>2.36</v>
      </c>
      <c r="BD47" s="215">
        <v>2.48</v>
      </c>
      <c r="BE47" s="215">
        <v>2.5299999999999998</v>
      </c>
      <c r="BF47" s="215">
        <v>2.5</v>
      </c>
      <c r="BG47" s="215">
        <v>2.58</v>
      </c>
      <c r="BH47" s="215">
        <v>2.62</v>
      </c>
      <c r="BI47" s="215">
        <v>2.5099999999999998</v>
      </c>
      <c r="BJ47" s="215">
        <v>2.57</v>
      </c>
      <c r="BK47" s="215">
        <v>2.66</v>
      </c>
      <c r="BL47" s="215">
        <v>2.68</v>
      </c>
      <c r="BM47" s="215">
        <v>1.94</v>
      </c>
      <c r="BN47" s="215">
        <v>2</v>
      </c>
      <c r="BO47" s="215">
        <v>2.02</v>
      </c>
      <c r="BP47" s="215">
        <v>2.0299999999999998</v>
      </c>
      <c r="BQ47" s="215">
        <v>2</v>
      </c>
      <c r="BR47" s="215">
        <v>1.85</v>
      </c>
      <c r="BS47" s="215">
        <v>1.7</v>
      </c>
      <c r="BT47" s="215">
        <v>1.82</v>
      </c>
      <c r="BU47" s="215">
        <v>1.88</v>
      </c>
      <c r="BV47" s="215">
        <v>1.84</v>
      </c>
      <c r="BW47" s="215">
        <v>1.75</v>
      </c>
      <c r="BX47" s="215">
        <v>1.78</v>
      </c>
      <c r="BY47" s="215">
        <v>1.81</v>
      </c>
      <c r="BZ47" s="215">
        <v>1.94</v>
      </c>
      <c r="CA47" s="215">
        <v>1.85</v>
      </c>
      <c r="CB47" s="215">
        <v>1.85</v>
      </c>
      <c r="CC47" s="215">
        <v>1.78</v>
      </c>
      <c r="CD47" s="215">
        <v>1.74</v>
      </c>
      <c r="CE47" s="215">
        <v>1.73</v>
      </c>
      <c r="CF47" s="215">
        <v>1.68</v>
      </c>
      <c r="CG47" s="215">
        <v>1.67</v>
      </c>
      <c r="CH47" s="215">
        <v>1.72</v>
      </c>
      <c r="CI47" s="215">
        <v>1.83</v>
      </c>
      <c r="CJ47" s="215">
        <v>1.83</v>
      </c>
      <c r="CK47" s="215">
        <v>1.98</v>
      </c>
      <c r="CL47" s="215">
        <v>2.12</v>
      </c>
      <c r="CM47" s="215">
        <v>2.04</v>
      </c>
      <c r="CN47" s="215">
        <v>1.9</v>
      </c>
      <c r="CO47" s="215">
        <v>1.91</v>
      </c>
      <c r="CP47" s="215">
        <v>2.02</v>
      </c>
      <c r="CQ47" s="215">
        <v>2.0099999999999998</v>
      </c>
      <c r="CR47" s="215">
        <v>1.78</v>
      </c>
      <c r="CS47" s="215">
        <v>1.88</v>
      </c>
      <c r="CT47" s="215">
        <v>1.93</v>
      </c>
      <c r="CU47" s="215">
        <v>1.9</v>
      </c>
      <c r="CV47" s="215">
        <v>1.88</v>
      </c>
      <c r="CW47" s="215">
        <v>1.76</v>
      </c>
      <c r="CX47" s="215">
        <v>1.86</v>
      </c>
      <c r="CY47" s="215">
        <v>1.76</v>
      </c>
      <c r="CZ47" s="215">
        <v>1.72</v>
      </c>
      <c r="DA47" s="215">
        <v>1.74</v>
      </c>
      <c r="DB47" s="215">
        <v>1.67</v>
      </c>
      <c r="DC47" s="215">
        <v>1.66</v>
      </c>
      <c r="DD47" s="215">
        <v>1.61</v>
      </c>
      <c r="DE47" s="215">
        <v>1.66</v>
      </c>
      <c r="DF47" s="215">
        <v>1.7</v>
      </c>
      <c r="DG47" s="215">
        <v>1.7</v>
      </c>
      <c r="DH47" s="215">
        <v>1.62</v>
      </c>
      <c r="DI47" s="215">
        <v>1.6</v>
      </c>
      <c r="DJ47" s="215">
        <v>1.6</v>
      </c>
      <c r="DK47" s="215">
        <v>1.7</v>
      </c>
      <c r="DL47" s="215">
        <v>1.7</v>
      </c>
      <c r="DM47" s="215">
        <v>1.73</v>
      </c>
      <c r="DN47" s="215">
        <v>1.78</v>
      </c>
      <c r="DO47" s="215">
        <v>1.83</v>
      </c>
      <c r="DP47" s="215">
        <v>1.85</v>
      </c>
      <c r="DQ47" s="215">
        <v>2</v>
      </c>
      <c r="DR47" s="215">
        <v>1.94</v>
      </c>
      <c r="DS47" s="215">
        <v>1.82</v>
      </c>
      <c r="DT47" s="215">
        <v>1.78</v>
      </c>
      <c r="DU47" s="215">
        <v>1.5</v>
      </c>
      <c r="DV47" s="215">
        <v>1.52</v>
      </c>
      <c r="DW47" s="215">
        <v>1.63</v>
      </c>
      <c r="DX47" s="215">
        <v>1.6</v>
      </c>
      <c r="DY47" s="215">
        <v>1.64</v>
      </c>
      <c r="DZ47" s="215">
        <v>1.73</v>
      </c>
      <c r="EA47" s="215">
        <v>1.78</v>
      </c>
      <c r="EB47" s="215">
        <v>1.94</v>
      </c>
      <c r="EC47" s="215">
        <v>1.94</v>
      </c>
      <c r="ED47" s="215">
        <v>1.86</v>
      </c>
      <c r="EE47" s="215">
        <v>1.85</v>
      </c>
      <c r="EF47" s="215">
        <v>1.91</v>
      </c>
      <c r="EG47" s="215">
        <v>1.97</v>
      </c>
    </row>
    <row r="48" spans="1:137" x14ac:dyDescent="0.3">
      <c r="A48" s="210" t="s">
        <v>190</v>
      </c>
      <c r="B48" s="214" t="s">
        <v>985</v>
      </c>
      <c r="C48" s="215">
        <v>2.5</v>
      </c>
      <c r="D48" s="215">
        <v>2.4700000000000002</v>
      </c>
      <c r="E48" s="215">
        <v>2.44</v>
      </c>
      <c r="F48" s="215">
        <v>2.4</v>
      </c>
      <c r="G48" s="215">
        <v>2.34</v>
      </c>
      <c r="H48" s="215">
        <v>2.3199999999999998</v>
      </c>
      <c r="I48" s="215">
        <v>2.2400000000000002</v>
      </c>
      <c r="J48" s="215">
        <v>2.2599999999999998</v>
      </c>
      <c r="K48" s="215">
        <v>2.0499999999999998</v>
      </c>
      <c r="L48" s="215">
        <v>2.1800000000000002</v>
      </c>
      <c r="M48" s="215">
        <v>2.25</v>
      </c>
      <c r="N48" s="215">
        <v>2.14</v>
      </c>
      <c r="O48" s="215">
        <v>2.02</v>
      </c>
      <c r="P48" s="215">
        <v>2.11</v>
      </c>
      <c r="Q48" s="215">
        <v>2.19</v>
      </c>
      <c r="R48" s="215">
        <v>2.23</v>
      </c>
      <c r="S48" s="215">
        <v>2.2400000000000002</v>
      </c>
      <c r="T48" s="215">
        <v>2.38</v>
      </c>
      <c r="U48" s="215">
        <v>2.39</v>
      </c>
      <c r="V48" s="215">
        <v>2.34</v>
      </c>
      <c r="W48" s="215">
        <v>2.35</v>
      </c>
      <c r="X48" s="215">
        <v>2.27</v>
      </c>
      <c r="Y48" s="215">
        <v>2.23</v>
      </c>
      <c r="Z48" s="215">
        <v>2.11</v>
      </c>
      <c r="AA48" s="215">
        <v>2.1</v>
      </c>
      <c r="AB48" s="215">
        <v>2.21</v>
      </c>
      <c r="AC48" s="215">
        <v>2.17</v>
      </c>
      <c r="AD48" s="215">
        <v>2.19</v>
      </c>
      <c r="AE48" s="215">
        <v>2.2000000000000002</v>
      </c>
      <c r="AF48" s="215">
        <v>2.2200000000000002</v>
      </c>
      <c r="AG48" s="215">
        <v>2.17</v>
      </c>
      <c r="AH48" s="215">
        <v>2.2400000000000002</v>
      </c>
      <c r="AI48" s="215">
        <v>2.2599999999999998</v>
      </c>
      <c r="AJ48" s="215">
        <v>2.2200000000000002</v>
      </c>
      <c r="AK48" s="215">
        <v>2.31</v>
      </c>
      <c r="AL48" s="215">
        <v>2.2799999999999998</v>
      </c>
      <c r="AM48" s="215">
        <v>2.0499999999999998</v>
      </c>
      <c r="AN48" s="215">
        <v>2.1800000000000002</v>
      </c>
      <c r="AO48" s="215">
        <v>2.2400000000000002</v>
      </c>
      <c r="AP48" s="215">
        <v>2.23</v>
      </c>
      <c r="AQ48" s="215">
        <v>2.2200000000000002</v>
      </c>
      <c r="AR48" s="215">
        <v>2.19</v>
      </c>
      <c r="AS48" s="215">
        <v>2.2000000000000002</v>
      </c>
      <c r="AT48" s="215">
        <v>2.25</v>
      </c>
      <c r="AU48" s="215">
        <v>2.29</v>
      </c>
      <c r="AV48" s="215">
        <v>2.2400000000000002</v>
      </c>
      <c r="AW48" s="215">
        <v>2.25</v>
      </c>
      <c r="AX48" s="215">
        <v>2.2599999999999998</v>
      </c>
      <c r="AY48" s="215">
        <v>2.23</v>
      </c>
      <c r="AZ48" s="215">
        <v>2.2599999999999998</v>
      </c>
      <c r="BA48" s="215">
        <v>2.3199999999999998</v>
      </c>
      <c r="BB48" s="215">
        <v>2.39</v>
      </c>
      <c r="BC48" s="215">
        <v>2.4700000000000002</v>
      </c>
      <c r="BD48" s="215">
        <v>2.56</v>
      </c>
      <c r="BE48" s="215">
        <v>2.56</v>
      </c>
      <c r="BF48" s="215">
        <v>2.57</v>
      </c>
      <c r="BG48" s="215">
        <v>2.66</v>
      </c>
      <c r="BH48" s="215">
        <v>2.67</v>
      </c>
      <c r="BI48" s="215">
        <v>2.5499999999999998</v>
      </c>
      <c r="BJ48" s="215">
        <v>2.62</v>
      </c>
      <c r="BK48" s="215">
        <v>2.78</v>
      </c>
      <c r="BL48" s="215">
        <v>2.78</v>
      </c>
      <c r="BM48" s="215">
        <v>2.44</v>
      </c>
      <c r="BN48" s="215">
        <v>2.15</v>
      </c>
      <c r="BO48" s="215">
        <v>2.08</v>
      </c>
      <c r="BP48" s="215">
        <v>2.2000000000000002</v>
      </c>
      <c r="BQ48" s="215">
        <v>2.09</v>
      </c>
      <c r="BR48" s="215">
        <v>2.04</v>
      </c>
      <c r="BS48" s="215">
        <v>1.78</v>
      </c>
      <c r="BT48" s="215">
        <v>1.92</v>
      </c>
      <c r="BU48" s="215">
        <v>1.95</v>
      </c>
      <c r="BV48" s="215">
        <v>1.89</v>
      </c>
      <c r="BW48" s="215">
        <v>1.81</v>
      </c>
      <c r="BX48" s="215">
        <v>1.82</v>
      </c>
      <c r="BY48" s="215">
        <v>1.89</v>
      </c>
      <c r="BZ48" s="215">
        <v>1.99</v>
      </c>
      <c r="CA48" s="215">
        <v>1.97</v>
      </c>
      <c r="CB48" s="215">
        <v>1.94</v>
      </c>
      <c r="CC48" s="215">
        <v>1.81</v>
      </c>
      <c r="CD48" s="215">
        <v>1.77</v>
      </c>
      <c r="CE48" s="215">
        <v>1.8</v>
      </c>
      <c r="CF48" s="215">
        <v>1.73</v>
      </c>
      <c r="CG48" s="215">
        <v>1.72</v>
      </c>
      <c r="CH48" s="215">
        <v>1.78</v>
      </c>
      <c r="CI48" s="215">
        <v>1.86</v>
      </c>
      <c r="CJ48" s="215">
        <v>1.86</v>
      </c>
      <c r="CK48" s="215">
        <v>2.12</v>
      </c>
      <c r="CL48" s="215">
        <v>2.1800000000000002</v>
      </c>
      <c r="CM48" s="215">
        <v>2.09</v>
      </c>
      <c r="CN48" s="215">
        <v>2.0499999999999998</v>
      </c>
      <c r="CO48" s="215">
        <v>2.08</v>
      </c>
      <c r="CP48" s="215">
        <v>2.0699999999999998</v>
      </c>
      <c r="CQ48" s="215">
        <v>2.13</v>
      </c>
      <c r="CR48" s="215">
        <v>1.91</v>
      </c>
      <c r="CS48" s="215">
        <v>2</v>
      </c>
      <c r="CT48" s="215">
        <v>2.0099999999999998</v>
      </c>
      <c r="CU48" s="215">
        <v>1.95</v>
      </c>
      <c r="CV48" s="215">
        <v>1.94</v>
      </c>
      <c r="CW48" s="215">
        <v>1.81</v>
      </c>
      <c r="CX48" s="215">
        <v>1.89</v>
      </c>
      <c r="CY48" s="215">
        <v>1.87</v>
      </c>
      <c r="CZ48" s="215">
        <v>1.75</v>
      </c>
      <c r="DA48" s="215">
        <v>1.79</v>
      </c>
      <c r="DB48" s="215">
        <v>1.73</v>
      </c>
      <c r="DC48" s="215">
        <v>1.72</v>
      </c>
      <c r="DD48" s="215">
        <v>1.66</v>
      </c>
      <c r="DE48" s="215">
        <v>1.7</v>
      </c>
      <c r="DF48" s="215">
        <v>1.76</v>
      </c>
      <c r="DG48" s="215">
        <v>1.77</v>
      </c>
      <c r="DH48" s="215">
        <v>1.66</v>
      </c>
      <c r="DI48" s="215">
        <v>1.65</v>
      </c>
      <c r="DJ48" s="215">
        <v>1.64</v>
      </c>
      <c r="DK48" s="215">
        <v>1.76</v>
      </c>
      <c r="DL48" s="215">
        <v>1.73</v>
      </c>
      <c r="DM48" s="215">
        <v>1.8</v>
      </c>
      <c r="DN48" s="215">
        <v>1.83</v>
      </c>
      <c r="DO48" s="215">
        <v>1.86</v>
      </c>
      <c r="DP48" s="215">
        <v>1.9</v>
      </c>
      <c r="DQ48" s="215">
        <v>2.08</v>
      </c>
      <c r="DR48" s="215">
        <v>2.02</v>
      </c>
      <c r="DS48" s="215">
        <v>1.93</v>
      </c>
      <c r="DT48" s="215">
        <v>1.92</v>
      </c>
      <c r="DU48" s="215">
        <v>1.54</v>
      </c>
      <c r="DV48" s="215">
        <v>1.62</v>
      </c>
      <c r="DW48" s="215">
        <v>1.67</v>
      </c>
      <c r="DX48" s="215">
        <v>1.65</v>
      </c>
      <c r="DY48" s="215">
        <v>1.73</v>
      </c>
      <c r="DZ48" s="215">
        <v>1.76</v>
      </c>
      <c r="EA48" s="215">
        <v>1.9</v>
      </c>
      <c r="EB48" s="215">
        <v>1.99</v>
      </c>
      <c r="EC48" s="215">
        <v>1.98</v>
      </c>
      <c r="ED48" s="215">
        <v>1.92</v>
      </c>
      <c r="EE48" s="215">
        <v>1.94</v>
      </c>
      <c r="EF48" s="215">
        <v>1.99</v>
      </c>
      <c r="EG48" s="215">
        <v>1.98</v>
      </c>
    </row>
    <row r="49" spans="1:137" x14ac:dyDescent="0.3">
      <c r="A49" s="210" t="s">
        <v>986</v>
      </c>
      <c r="B49" s="214" t="s">
        <v>987</v>
      </c>
      <c r="C49" s="215">
        <v>2.37</v>
      </c>
      <c r="D49" s="215">
        <v>2.29</v>
      </c>
      <c r="E49" s="215">
        <v>2.31</v>
      </c>
      <c r="F49" s="215">
        <v>2.31</v>
      </c>
      <c r="G49" s="215">
        <v>2.2200000000000002</v>
      </c>
      <c r="H49" s="215">
        <v>2.13</v>
      </c>
      <c r="I49" s="215">
        <v>2.13</v>
      </c>
      <c r="J49" s="215">
        <v>2.0099999999999998</v>
      </c>
      <c r="K49" s="215">
        <v>1.91</v>
      </c>
      <c r="L49" s="215">
        <v>2.0499999999999998</v>
      </c>
      <c r="M49" s="215">
        <v>2.11</v>
      </c>
      <c r="N49" s="215">
        <v>1.95</v>
      </c>
      <c r="O49" s="215">
        <v>1.86</v>
      </c>
      <c r="P49" s="215">
        <v>2</v>
      </c>
      <c r="Q49" s="215">
        <v>2.0299999999999998</v>
      </c>
      <c r="R49" s="215">
        <v>2.11</v>
      </c>
      <c r="S49" s="215">
        <v>2.14</v>
      </c>
      <c r="T49" s="215">
        <v>2.23</v>
      </c>
      <c r="U49" s="215">
        <v>2.3199999999999998</v>
      </c>
      <c r="V49" s="215">
        <v>2.21</v>
      </c>
      <c r="W49" s="215">
        <v>2.1800000000000002</v>
      </c>
      <c r="X49" s="215">
        <v>2.1800000000000002</v>
      </c>
      <c r="Y49" s="215">
        <v>1.92</v>
      </c>
      <c r="Z49" s="215">
        <v>2</v>
      </c>
      <c r="AA49" s="215">
        <v>2.04</v>
      </c>
      <c r="AB49" s="215">
        <v>2.06</v>
      </c>
      <c r="AC49" s="215">
        <v>2.09</v>
      </c>
      <c r="AD49" s="215">
        <v>2.11</v>
      </c>
      <c r="AE49" s="215">
        <v>2.09</v>
      </c>
      <c r="AF49" s="215">
        <v>2.13</v>
      </c>
      <c r="AG49" s="215">
        <v>2.09</v>
      </c>
      <c r="AH49" s="215">
        <v>2.17</v>
      </c>
      <c r="AI49" s="215">
        <v>2.15</v>
      </c>
      <c r="AJ49" s="215">
        <v>2.11</v>
      </c>
      <c r="AK49" s="215">
        <v>2.21</v>
      </c>
      <c r="AL49" s="215">
        <v>2.02</v>
      </c>
      <c r="AM49" s="215">
        <v>1.98</v>
      </c>
      <c r="AN49" s="215">
        <v>1.96</v>
      </c>
      <c r="AO49" s="215">
        <v>2.12</v>
      </c>
      <c r="AP49" s="215">
        <v>2.17</v>
      </c>
      <c r="AQ49" s="215">
        <v>1.9</v>
      </c>
      <c r="AR49" s="215">
        <v>1.88</v>
      </c>
      <c r="AS49" s="215">
        <v>2.12</v>
      </c>
      <c r="AT49" s="215">
        <v>2.14</v>
      </c>
      <c r="AU49" s="215">
        <v>2.14</v>
      </c>
      <c r="AV49" s="215">
        <v>2.12</v>
      </c>
      <c r="AW49" s="215">
        <v>2.1</v>
      </c>
      <c r="AX49" s="215">
        <v>2.0499999999999998</v>
      </c>
      <c r="AY49" s="215">
        <v>2.04</v>
      </c>
      <c r="AZ49" s="215">
        <v>2.1800000000000002</v>
      </c>
      <c r="BA49" s="215">
        <v>2.23</v>
      </c>
      <c r="BB49" s="215">
        <v>2.31</v>
      </c>
      <c r="BC49" s="215">
        <v>2.2799999999999998</v>
      </c>
      <c r="BD49" s="215">
        <v>2.4</v>
      </c>
      <c r="BE49" s="215">
        <v>2.46</v>
      </c>
      <c r="BF49" s="215">
        <v>2.38</v>
      </c>
      <c r="BG49" s="215">
        <v>2.5299999999999998</v>
      </c>
      <c r="BH49" s="215">
        <v>2.5499999999999998</v>
      </c>
      <c r="BI49" s="215">
        <v>2.4500000000000002</v>
      </c>
      <c r="BJ49" s="215">
        <v>2.5099999999999998</v>
      </c>
      <c r="BK49" s="215">
        <v>2.5499999999999998</v>
      </c>
      <c r="BL49" s="215">
        <v>2.31</v>
      </c>
      <c r="BM49" s="215">
        <v>1.46</v>
      </c>
      <c r="BN49" s="215">
        <v>1.71</v>
      </c>
      <c r="BO49" s="215">
        <v>1.93</v>
      </c>
      <c r="BP49" s="215">
        <v>1.84</v>
      </c>
      <c r="BQ49" s="215">
        <v>1.9</v>
      </c>
      <c r="BR49" s="215">
        <v>1.75</v>
      </c>
      <c r="BS49" s="215">
        <v>1.64</v>
      </c>
      <c r="BT49" s="215">
        <v>1.71</v>
      </c>
      <c r="BU49" s="215">
        <v>1.79</v>
      </c>
      <c r="BV49" s="215">
        <v>1.8</v>
      </c>
      <c r="BW49" s="215">
        <v>1.69</v>
      </c>
      <c r="BX49" s="215">
        <v>1.65</v>
      </c>
      <c r="BY49" s="215">
        <v>1.67</v>
      </c>
      <c r="BZ49" s="215">
        <v>1.88</v>
      </c>
      <c r="CA49" s="215">
        <v>1.82</v>
      </c>
      <c r="CB49" s="215">
        <v>1.78</v>
      </c>
      <c r="CC49" s="215">
        <v>1.74</v>
      </c>
      <c r="CD49" s="215">
        <v>1.72</v>
      </c>
      <c r="CE49" s="215">
        <v>1.62</v>
      </c>
      <c r="CF49" s="215">
        <v>1.62</v>
      </c>
      <c r="CG49" s="215">
        <v>1.62</v>
      </c>
      <c r="CH49" s="215">
        <v>1.61</v>
      </c>
      <c r="CI49" s="215">
        <v>1.77</v>
      </c>
      <c r="CJ49" s="215">
        <v>1.79</v>
      </c>
      <c r="CK49" s="215">
        <v>1.83</v>
      </c>
      <c r="CL49" s="215">
        <v>2.04</v>
      </c>
      <c r="CM49" s="215">
        <v>1.98</v>
      </c>
      <c r="CN49" s="215">
        <v>1.75</v>
      </c>
      <c r="CO49" s="215">
        <v>1.84</v>
      </c>
      <c r="CP49" s="215">
        <v>1.94</v>
      </c>
      <c r="CQ49" s="215">
        <v>1.82</v>
      </c>
      <c r="CR49" s="215">
        <v>1.7</v>
      </c>
      <c r="CS49" s="215">
        <v>1.8</v>
      </c>
      <c r="CT49" s="215">
        <v>1.86</v>
      </c>
      <c r="CU49" s="215">
        <v>1.83</v>
      </c>
      <c r="CV49" s="215">
        <v>1.8</v>
      </c>
      <c r="CW49" s="215">
        <v>1.67</v>
      </c>
      <c r="CX49" s="215">
        <v>1.79</v>
      </c>
      <c r="CY49" s="215">
        <v>1.69</v>
      </c>
      <c r="CZ49" s="215">
        <v>1.69</v>
      </c>
      <c r="DA49" s="215">
        <v>1.7</v>
      </c>
      <c r="DB49" s="215">
        <v>1.64</v>
      </c>
      <c r="DC49" s="215">
        <v>1.58</v>
      </c>
      <c r="DD49" s="215">
        <v>1.53</v>
      </c>
      <c r="DE49" s="215">
        <v>1.6</v>
      </c>
      <c r="DF49" s="215">
        <v>1.63</v>
      </c>
      <c r="DG49" s="215">
        <v>1.61</v>
      </c>
      <c r="DH49" s="215">
        <v>1.6</v>
      </c>
      <c r="DI49" s="215">
        <v>1.57</v>
      </c>
      <c r="DJ49" s="215">
        <v>1.51</v>
      </c>
      <c r="DK49" s="215">
        <v>1.64</v>
      </c>
      <c r="DL49" s="215">
        <v>1.68</v>
      </c>
      <c r="DM49" s="215">
        <v>1.68</v>
      </c>
      <c r="DN49" s="215">
        <v>1.71</v>
      </c>
      <c r="DO49" s="215">
        <v>1.8</v>
      </c>
      <c r="DP49" s="215">
        <v>1.8</v>
      </c>
      <c r="DQ49" s="215">
        <v>1.79</v>
      </c>
      <c r="DR49" s="215">
        <v>1.87</v>
      </c>
      <c r="DS49" s="215">
        <v>1.69</v>
      </c>
      <c r="DT49" s="215">
        <v>1.52</v>
      </c>
      <c r="DU49" s="215">
        <v>1.46</v>
      </c>
      <c r="DV49" s="215">
        <v>1.37</v>
      </c>
      <c r="DW49" s="215">
        <v>1.59</v>
      </c>
      <c r="DX49" s="215">
        <v>1.56</v>
      </c>
      <c r="DY49" s="215">
        <v>1.57</v>
      </c>
      <c r="DZ49" s="215">
        <v>1.71</v>
      </c>
      <c r="EA49" s="215">
        <v>1.68</v>
      </c>
      <c r="EB49" s="215">
        <v>1.89</v>
      </c>
      <c r="EC49" s="215">
        <v>1.9</v>
      </c>
      <c r="ED49" s="215">
        <v>1.82</v>
      </c>
      <c r="EE49" s="215">
        <v>1.8</v>
      </c>
      <c r="EF49" s="215">
        <v>1.81</v>
      </c>
      <c r="EG49" s="215">
        <v>1.97</v>
      </c>
    </row>
    <row r="50" spans="1:137" x14ac:dyDescent="0.3">
      <c r="A50" s="210" t="s">
        <v>988</v>
      </c>
      <c r="B50" s="214" t="s">
        <v>989</v>
      </c>
      <c r="C50" s="215">
        <v>2.4300000000000002</v>
      </c>
      <c r="D50" s="215">
        <v>2.35</v>
      </c>
      <c r="E50" s="215">
        <v>2.37</v>
      </c>
      <c r="F50" s="215">
        <v>2.31</v>
      </c>
      <c r="G50" s="215">
        <v>2.31</v>
      </c>
      <c r="H50" s="215">
        <v>2.13</v>
      </c>
      <c r="I50" s="215">
        <v>2.19</v>
      </c>
      <c r="J50" s="215">
        <v>2.0099999999999998</v>
      </c>
      <c r="K50" s="215">
        <v>2.0499999999999998</v>
      </c>
      <c r="L50" s="215">
        <v>2.17</v>
      </c>
      <c r="M50" s="215">
        <v>2.12</v>
      </c>
      <c r="N50" s="215">
        <v>2.0099999999999998</v>
      </c>
      <c r="O50" s="215">
        <v>2.02</v>
      </c>
      <c r="P50" s="215">
        <v>2.0299999999999998</v>
      </c>
      <c r="Q50" s="215">
        <v>2.19</v>
      </c>
      <c r="R50" s="215">
        <v>2.17</v>
      </c>
      <c r="S50" s="215">
        <v>2.2400000000000002</v>
      </c>
      <c r="T50" s="215">
        <v>2.38</v>
      </c>
      <c r="U50" s="215">
        <v>2.34</v>
      </c>
      <c r="V50" s="215">
        <v>2.2200000000000002</v>
      </c>
      <c r="W50" s="215">
        <v>2.2799999999999998</v>
      </c>
      <c r="X50" s="215">
        <v>2.27</v>
      </c>
      <c r="Y50" s="215">
        <v>2.02</v>
      </c>
      <c r="Z50" s="215">
        <v>2.04</v>
      </c>
      <c r="AA50" s="215">
        <v>2.08</v>
      </c>
      <c r="AB50" s="215">
        <v>2.13</v>
      </c>
      <c r="AC50" s="215">
        <v>2.13</v>
      </c>
      <c r="AD50" s="215">
        <v>2.1800000000000002</v>
      </c>
      <c r="AE50" s="215">
        <v>2.2000000000000002</v>
      </c>
      <c r="AF50" s="215">
        <v>2.13</v>
      </c>
      <c r="AG50" s="215">
        <v>2.14</v>
      </c>
      <c r="AH50" s="215">
        <v>2.2200000000000002</v>
      </c>
      <c r="AI50" s="215">
        <v>2.15</v>
      </c>
      <c r="AJ50" s="215">
        <v>2.2200000000000002</v>
      </c>
      <c r="AK50" s="215">
        <v>2.29</v>
      </c>
      <c r="AL50" s="215">
        <v>2.02</v>
      </c>
      <c r="AM50" s="215">
        <v>2.0299999999999998</v>
      </c>
      <c r="AN50" s="215">
        <v>2.16</v>
      </c>
      <c r="AO50" s="215">
        <v>2.21</v>
      </c>
      <c r="AP50" s="215">
        <v>2.2200000000000002</v>
      </c>
      <c r="AQ50" s="215">
        <v>1.99</v>
      </c>
      <c r="AR50" s="215">
        <v>2.17</v>
      </c>
      <c r="AS50" s="215">
        <v>2.16</v>
      </c>
      <c r="AT50" s="215">
        <v>2.23</v>
      </c>
      <c r="AU50" s="215">
        <v>2.19</v>
      </c>
      <c r="AV50" s="215">
        <v>2.12</v>
      </c>
      <c r="AW50" s="215">
        <v>2.2000000000000002</v>
      </c>
      <c r="AX50" s="215">
        <v>2.06</v>
      </c>
      <c r="AY50" s="215">
        <v>2.23</v>
      </c>
      <c r="AZ50" s="215">
        <v>2.2200000000000002</v>
      </c>
      <c r="BA50" s="215">
        <v>2.3199999999999998</v>
      </c>
      <c r="BB50" s="215">
        <v>2.35</v>
      </c>
      <c r="BC50" s="215">
        <v>2.39</v>
      </c>
      <c r="BD50" s="215">
        <v>2.5</v>
      </c>
      <c r="BE50" s="215">
        <v>2.46</v>
      </c>
      <c r="BF50" s="215">
        <v>2.56</v>
      </c>
      <c r="BG50" s="215">
        <v>2.66</v>
      </c>
      <c r="BH50" s="215">
        <v>2.61</v>
      </c>
      <c r="BI50" s="215">
        <v>2.54</v>
      </c>
      <c r="BJ50" s="215">
        <v>2.61</v>
      </c>
      <c r="BK50" s="215">
        <v>2.77</v>
      </c>
      <c r="BL50" s="215">
        <v>2.31</v>
      </c>
      <c r="BM50" s="215">
        <v>1.87</v>
      </c>
      <c r="BN50" s="215">
        <v>2.04</v>
      </c>
      <c r="BO50" s="215">
        <v>2.0699999999999998</v>
      </c>
      <c r="BP50" s="215">
        <v>1.92</v>
      </c>
      <c r="BQ50" s="215">
        <v>2.0299999999999998</v>
      </c>
      <c r="BR50" s="215">
        <v>1.77</v>
      </c>
      <c r="BS50" s="215">
        <v>1.7</v>
      </c>
      <c r="BT50" s="215">
        <v>1.8</v>
      </c>
      <c r="BU50" s="215">
        <v>1.83</v>
      </c>
      <c r="BV50" s="215">
        <v>1.83</v>
      </c>
      <c r="BW50" s="215">
        <v>1.77</v>
      </c>
      <c r="BX50" s="215">
        <v>1.65</v>
      </c>
      <c r="BY50" s="215">
        <v>1.89</v>
      </c>
      <c r="BZ50" s="215">
        <v>1.96</v>
      </c>
      <c r="CA50" s="215">
        <v>1.82</v>
      </c>
      <c r="CB50" s="215">
        <v>1.78</v>
      </c>
      <c r="CC50" s="215">
        <v>1.76</v>
      </c>
      <c r="CD50" s="215">
        <v>1.74</v>
      </c>
      <c r="CE50" s="215">
        <v>1.66</v>
      </c>
      <c r="CF50" s="215">
        <v>1.68</v>
      </c>
      <c r="CG50" s="215">
        <v>1.62</v>
      </c>
      <c r="CH50" s="215">
        <v>1.78</v>
      </c>
      <c r="CI50" s="215">
        <v>1.86</v>
      </c>
      <c r="CJ50" s="215">
        <v>1.82</v>
      </c>
      <c r="CK50" s="215">
        <v>2.12</v>
      </c>
      <c r="CL50" s="215">
        <v>2.04</v>
      </c>
      <c r="CM50" s="215">
        <v>2.0499999999999998</v>
      </c>
      <c r="CN50" s="215">
        <v>1.88</v>
      </c>
      <c r="CO50" s="215">
        <v>2.08</v>
      </c>
      <c r="CP50" s="215">
        <v>2</v>
      </c>
      <c r="CQ50" s="215">
        <v>1.82</v>
      </c>
      <c r="CR50" s="215">
        <v>1.83</v>
      </c>
      <c r="CS50" s="215">
        <v>2</v>
      </c>
      <c r="CT50" s="215">
        <v>1.86</v>
      </c>
      <c r="CU50" s="215">
        <v>1.93</v>
      </c>
      <c r="CV50" s="215">
        <v>1.8</v>
      </c>
      <c r="CW50" s="215">
        <v>1.81</v>
      </c>
      <c r="CX50" s="215">
        <v>1.86</v>
      </c>
      <c r="CY50" s="215">
        <v>1.69</v>
      </c>
      <c r="CZ50" s="215">
        <v>1.71</v>
      </c>
      <c r="DA50" s="215">
        <v>1.75</v>
      </c>
      <c r="DB50" s="215">
        <v>1.64</v>
      </c>
      <c r="DC50" s="215">
        <v>1.59</v>
      </c>
      <c r="DD50" s="215">
        <v>1.64</v>
      </c>
      <c r="DE50" s="215">
        <v>1.68</v>
      </c>
      <c r="DF50" s="215">
        <v>1.72</v>
      </c>
      <c r="DG50" s="215">
        <v>1.65</v>
      </c>
      <c r="DH50" s="215">
        <v>1.6</v>
      </c>
      <c r="DI50" s="215">
        <v>1.63</v>
      </c>
      <c r="DJ50" s="215">
        <v>1.63</v>
      </c>
      <c r="DK50" s="215">
        <v>1.73</v>
      </c>
      <c r="DL50" s="215">
        <v>1.7</v>
      </c>
      <c r="DM50" s="215">
        <v>1.79</v>
      </c>
      <c r="DN50" s="215">
        <v>1.82</v>
      </c>
      <c r="DO50" s="215">
        <v>1.85</v>
      </c>
      <c r="DP50" s="215">
        <v>1.85</v>
      </c>
      <c r="DQ50" s="215">
        <v>2.06</v>
      </c>
      <c r="DR50" s="215">
        <v>1.93</v>
      </c>
      <c r="DS50" s="215">
        <v>1.82</v>
      </c>
      <c r="DT50" s="215">
        <v>1.54</v>
      </c>
      <c r="DU50" s="215">
        <v>1.53</v>
      </c>
      <c r="DV50" s="215">
        <v>1.59</v>
      </c>
      <c r="DW50" s="215">
        <v>1.67</v>
      </c>
      <c r="DX50" s="215">
        <v>1.61</v>
      </c>
      <c r="DY50" s="215">
        <v>1.73</v>
      </c>
      <c r="DZ50" s="215">
        <v>1.75</v>
      </c>
      <c r="EA50" s="215">
        <v>1.9</v>
      </c>
      <c r="EB50" s="215">
        <v>1.95</v>
      </c>
      <c r="EC50" s="215">
        <v>1.98</v>
      </c>
      <c r="ED50" s="215">
        <v>1.85</v>
      </c>
      <c r="EE50" s="215">
        <v>1.82</v>
      </c>
      <c r="EF50" s="215">
        <v>1.99</v>
      </c>
      <c r="EG50" s="215">
        <v>1.97</v>
      </c>
    </row>
    <row r="51" spans="1:137" x14ac:dyDescent="0.3">
      <c r="A51" s="210" t="s">
        <v>1000</v>
      </c>
      <c r="B51" s="214" t="s">
        <v>205</v>
      </c>
      <c r="C51" s="215">
        <v>2.78</v>
      </c>
      <c r="D51" s="215">
        <v>2.7</v>
      </c>
      <c r="E51" s="215">
        <v>2.69</v>
      </c>
      <c r="F51" s="215">
        <v>2.68</v>
      </c>
      <c r="G51" s="215">
        <v>2.59</v>
      </c>
      <c r="H51" s="215">
        <v>2.5</v>
      </c>
      <c r="I51" s="215">
        <v>2.46</v>
      </c>
      <c r="J51" s="215">
        <v>2.4300000000000002</v>
      </c>
      <c r="K51" s="215">
        <v>2.21</v>
      </c>
      <c r="L51" s="215">
        <v>2.39</v>
      </c>
      <c r="M51" s="215">
        <v>2.42</v>
      </c>
      <c r="N51" s="215">
        <v>2.2799999999999998</v>
      </c>
      <c r="O51" s="215">
        <v>2.19</v>
      </c>
      <c r="P51" s="215">
        <v>2.2999999999999998</v>
      </c>
      <c r="Q51" s="215">
        <v>2.36</v>
      </c>
      <c r="R51" s="215">
        <v>2.42</v>
      </c>
      <c r="S51" s="215">
        <v>2.44</v>
      </c>
      <c r="T51" s="215">
        <v>2.56</v>
      </c>
      <c r="U51" s="215">
        <v>2.64</v>
      </c>
      <c r="V51" s="215">
        <v>2.52</v>
      </c>
      <c r="W51" s="215">
        <v>2.52</v>
      </c>
      <c r="X51" s="215">
        <v>2.4700000000000002</v>
      </c>
      <c r="Y51" s="215">
        <v>2.54</v>
      </c>
      <c r="Z51" s="215">
        <v>2.58</v>
      </c>
      <c r="AA51" s="215">
        <v>2.61</v>
      </c>
      <c r="AB51" s="215">
        <v>2.69</v>
      </c>
      <c r="AC51" s="215">
        <v>2.75</v>
      </c>
      <c r="AD51" s="215">
        <v>2.78</v>
      </c>
      <c r="AE51" s="215">
        <v>2.75</v>
      </c>
      <c r="AF51" s="215">
        <v>2.79</v>
      </c>
      <c r="AG51" s="215">
        <v>2.73</v>
      </c>
      <c r="AH51" s="215">
        <v>2.83</v>
      </c>
      <c r="AI51" s="215">
        <v>2.83</v>
      </c>
      <c r="AJ51" s="215">
        <v>2.76</v>
      </c>
      <c r="AK51" s="215">
        <v>2.91</v>
      </c>
      <c r="AL51" s="215">
        <v>2.76</v>
      </c>
      <c r="AM51" s="215">
        <v>2.59</v>
      </c>
      <c r="AN51" s="215">
        <v>2.61</v>
      </c>
      <c r="AO51" s="215">
        <v>2.87</v>
      </c>
      <c r="AP51" s="215">
        <v>2.88</v>
      </c>
      <c r="AQ51" s="215">
        <v>2.57</v>
      </c>
      <c r="AR51" s="215">
        <v>2.63</v>
      </c>
      <c r="AS51" s="215">
        <v>2.74</v>
      </c>
      <c r="AT51" s="215">
        <v>2.73</v>
      </c>
      <c r="AU51" s="215">
        <v>2.73</v>
      </c>
      <c r="AV51" s="215">
        <v>2.71</v>
      </c>
      <c r="AW51" s="215">
        <v>2.65</v>
      </c>
      <c r="AX51" s="215">
        <v>2.64</v>
      </c>
      <c r="AY51" s="215">
        <v>2.62</v>
      </c>
      <c r="AZ51" s="215">
        <v>2.71</v>
      </c>
      <c r="BA51" s="215">
        <v>2.77</v>
      </c>
      <c r="BB51" s="215">
        <v>2.85</v>
      </c>
      <c r="BC51" s="215">
        <v>2.72</v>
      </c>
      <c r="BD51" s="215">
        <v>2.82</v>
      </c>
      <c r="BE51" s="215">
        <v>2.87</v>
      </c>
      <c r="BF51" s="215">
        <v>2.84</v>
      </c>
      <c r="BG51" s="215">
        <v>2.93</v>
      </c>
      <c r="BH51" s="215">
        <v>2.98</v>
      </c>
      <c r="BI51" s="215">
        <v>2.82</v>
      </c>
      <c r="BJ51" s="215">
        <v>2.89</v>
      </c>
      <c r="BK51" s="215">
        <v>3</v>
      </c>
      <c r="BL51" s="215">
        <v>3.01</v>
      </c>
      <c r="BM51" s="215">
        <v>2.16</v>
      </c>
      <c r="BN51" s="215">
        <v>2.23</v>
      </c>
      <c r="BO51" s="215">
        <v>2.2400000000000002</v>
      </c>
      <c r="BP51" s="215">
        <v>2.2599999999999998</v>
      </c>
      <c r="BQ51" s="215">
        <v>2.23</v>
      </c>
      <c r="BR51" s="215">
        <v>2.04</v>
      </c>
      <c r="BS51" s="215">
        <v>1.87</v>
      </c>
      <c r="BT51" s="215">
        <v>1.99</v>
      </c>
      <c r="BU51" s="215">
        <v>2.06</v>
      </c>
      <c r="BV51" s="215">
        <v>2.02</v>
      </c>
      <c r="BW51" s="215">
        <v>1.92</v>
      </c>
      <c r="BX51" s="215">
        <v>1.95</v>
      </c>
      <c r="BY51" s="215">
        <v>1.98</v>
      </c>
      <c r="BZ51" s="215">
        <v>2.13</v>
      </c>
      <c r="CA51" s="215">
        <v>2.0299999999999998</v>
      </c>
      <c r="CB51" s="215">
        <v>2.0299999999999998</v>
      </c>
      <c r="CC51" s="215">
        <v>1.95</v>
      </c>
      <c r="CD51" s="215">
        <v>1.9</v>
      </c>
      <c r="CE51" s="215">
        <v>1.88</v>
      </c>
      <c r="CF51" s="215">
        <v>1.83</v>
      </c>
      <c r="CG51" s="215">
        <v>1.83</v>
      </c>
      <c r="CH51" s="215">
        <v>1.87</v>
      </c>
      <c r="CI51" s="215">
        <v>2</v>
      </c>
      <c r="CJ51" s="215">
        <v>2</v>
      </c>
      <c r="CK51" s="215">
        <v>2.15</v>
      </c>
      <c r="CL51" s="215">
        <v>2.2999999999999998</v>
      </c>
      <c r="CM51" s="215">
        <v>2.21</v>
      </c>
      <c r="CN51" s="215">
        <v>2.06</v>
      </c>
      <c r="CO51" s="215">
        <v>2.0699999999999998</v>
      </c>
      <c r="CP51" s="215">
        <v>2.19</v>
      </c>
      <c r="CQ51" s="215">
        <v>2.1800000000000002</v>
      </c>
      <c r="CR51" s="215">
        <v>1.93</v>
      </c>
      <c r="CS51" s="215">
        <v>2.0299999999999998</v>
      </c>
      <c r="CT51" s="215">
        <v>2.08</v>
      </c>
      <c r="CU51" s="215">
        <v>2.06</v>
      </c>
      <c r="CV51" s="215">
        <v>2.0299999999999998</v>
      </c>
      <c r="CW51" s="215">
        <v>1.9</v>
      </c>
      <c r="CX51" s="215">
        <v>2</v>
      </c>
      <c r="CY51" s="215">
        <v>1.9</v>
      </c>
      <c r="CZ51" s="215">
        <v>1.86</v>
      </c>
      <c r="DA51" s="215">
        <v>1.88</v>
      </c>
      <c r="DB51" s="215">
        <v>1.8</v>
      </c>
      <c r="DC51" s="215">
        <v>1.79</v>
      </c>
      <c r="DD51" s="215">
        <v>1.73</v>
      </c>
      <c r="DE51" s="215">
        <v>1.79</v>
      </c>
      <c r="DF51" s="215">
        <v>1.83</v>
      </c>
      <c r="DG51" s="215">
        <v>1.82</v>
      </c>
      <c r="DH51" s="215">
        <v>1.74</v>
      </c>
      <c r="DI51" s="215">
        <v>1.72</v>
      </c>
      <c r="DJ51" s="215">
        <v>1.72</v>
      </c>
      <c r="DK51" s="215">
        <v>1.83</v>
      </c>
      <c r="DL51" s="215">
        <v>1.82</v>
      </c>
      <c r="DM51" s="215">
        <v>1.86</v>
      </c>
      <c r="DN51" s="215">
        <v>1.9</v>
      </c>
      <c r="DO51" s="215">
        <v>1.97</v>
      </c>
      <c r="DP51" s="215">
        <v>1.99</v>
      </c>
      <c r="DQ51" s="215">
        <v>2.14</v>
      </c>
      <c r="DR51" s="215">
        <v>2.08</v>
      </c>
      <c r="DS51" s="215">
        <v>1.95</v>
      </c>
      <c r="DT51" s="215">
        <v>1.9</v>
      </c>
      <c r="DU51" s="215">
        <v>1.6</v>
      </c>
      <c r="DV51" s="215">
        <v>1.62</v>
      </c>
      <c r="DW51" s="215">
        <v>1.73</v>
      </c>
      <c r="DX51" s="215">
        <v>1.71</v>
      </c>
      <c r="DY51" s="215">
        <v>1.75</v>
      </c>
      <c r="DZ51" s="215">
        <v>1.85</v>
      </c>
      <c r="EA51" s="215">
        <v>1.89</v>
      </c>
      <c r="EB51" s="215">
        <v>2.0699999999999998</v>
      </c>
      <c r="EC51" s="215">
        <v>1.96</v>
      </c>
      <c r="ED51" s="215">
        <v>1.86</v>
      </c>
      <c r="EE51" s="215">
        <v>1.85</v>
      </c>
      <c r="EF51" s="215">
        <v>1.91</v>
      </c>
      <c r="EG51" s="215">
        <v>1.97</v>
      </c>
    </row>
    <row r="52" spans="1:137" x14ac:dyDescent="0.3">
      <c r="A52" s="210" t="s">
        <v>190</v>
      </c>
      <c r="B52" s="214" t="s">
        <v>985</v>
      </c>
      <c r="C52" s="215">
        <v>2.84</v>
      </c>
      <c r="D52" s="215">
        <v>2.81</v>
      </c>
      <c r="E52" s="215">
        <v>2.77</v>
      </c>
      <c r="F52" s="215">
        <v>2.73</v>
      </c>
      <c r="G52" s="215">
        <v>2.66</v>
      </c>
      <c r="H52" s="215">
        <v>2.62</v>
      </c>
      <c r="I52" s="215">
        <v>2.5299999999999998</v>
      </c>
      <c r="J52" s="215">
        <v>2.54</v>
      </c>
      <c r="K52" s="215">
        <v>2.31</v>
      </c>
      <c r="L52" s="215">
        <v>2.4500000000000002</v>
      </c>
      <c r="M52" s="215">
        <v>2.5299999999999998</v>
      </c>
      <c r="N52" s="215">
        <v>2.4</v>
      </c>
      <c r="O52" s="215">
        <v>2.27</v>
      </c>
      <c r="P52" s="215">
        <v>2.37</v>
      </c>
      <c r="Q52" s="215">
        <v>2.44</v>
      </c>
      <c r="R52" s="215">
        <v>2.48</v>
      </c>
      <c r="S52" s="215">
        <v>2.5</v>
      </c>
      <c r="T52" s="215">
        <v>2.66</v>
      </c>
      <c r="U52" s="215">
        <v>2.67</v>
      </c>
      <c r="V52" s="215">
        <v>2.61</v>
      </c>
      <c r="W52" s="215">
        <v>2.61</v>
      </c>
      <c r="X52" s="215">
        <v>2.5299999999999998</v>
      </c>
      <c r="Y52" s="215">
        <v>2.67</v>
      </c>
      <c r="Z52" s="215">
        <v>2.66</v>
      </c>
      <c r="AA52" s="215">
        <v>2.65</v>
      </c>
      <c r="AB52" s="215">
        <v>2.79</v>
      </c>
      <c r="AC52" s="215">
        <v>2.8</v>
      </c>
      <c r="AD52" s="215">
        <v>2.83</v>
      </c>
      <c r="AE52" s="215">
        <v>2.83</v>
      </c>
      <c r="AF52" s="215">
        <v>2.85</v>
      </c>
      <c r="AG52" s="215">
        <v>2.79</v>
      </c>
      <c r="AH52" s="215">
        <v>2.87</v>
      </c>
      <c r="AI52" s="215">
        <v>2.89</v>
      </c>
      <c r="AJ52" s="215">
        <v>2.85</v>
      </c>
      <c r="AK52" s="215">
        <v>2.97</v>
      </c>
      <c r="AL52" s="215">
        <v>2.93</v>
      </c>
      <c r="AM52" s="215">
        <v>2.63</v>
      </c>
      <c r="AN52" s="215">
        <v>2.86</v>
      </c>
      <c r="AO52" s="215">
        <v>2.94</v>
      </c>
      <c r="AP52" s="215">
        <v>2.92</v>
      </c>
      <c r="AQ52" s="215">
        <v>2.9</v>
      </c>
      <c r="AR52" s="215">
        <v>2.77</v>
      </c>
      <c r="AS52" s="215">
        <v>2.79</v>
      </c>
      <c r="AT52" s="215">
        <v>2.77</v>
      </c>
      <c r="AU52" s="215">
        <v>2.8</v>
      </c>
      <c r="AV52" s="215">
        <v>2.75</v>
      </c>
      <c r="AW52" s="215">
        <v>2.75</v>
      </c>
      <c r="AX52" s="215">
        <v>2.76</v>
      </c>
      <c r="AY52" s="215">
        <v>2.72</v>
      </c>
      <c r="AZ52" s="215">
        <v>2.76</v>
      </c>
      <c r="BA52" s="215">
        <v>2.82</v>
      </c>
      <c r="BB52" s="215">
        <v>2.91</v>
      </c>
      <c r="BC52" s="215">
        <v>2.85</v>
      </c>
      <c r="BD52" s="215">
        <v>2.91</v>
      </c>
      <c r="BE52" s="215">
        <v>2.92</v>
      </c>
      <c r="BF52" s="215">
        <v>2.92</v>
      </c>
      <c r="BG52" s="215">
        <v>3.03</v>
      </c>
      <c r="BH52" s="215">
        <v>3.04</v>
      </c>
      <c r="BI52" s="215">
        <v>2.87</v>
      </c>
      <c r="BJ52" s="215">
        <v>2.95</v>
      </c>
      <c r="BK52" s="215">
        <v>3.12</v>
      </c>
      <c r="BL52" s="215">
        <v>3.12</v>
      </c>
      <c r="BM52" s="215">
        <v>2.72</v>
      </c>
      <c r="BN52" s="215">
        <v>2.4</v>
      </c>
      <c r="BO52" s="215">
        <v>2.3199999999999998</v>
      </c>
      <c r="BP52" s="215">
        <v>2.4500000000000002</v>
      </c>
      <c r="BQ52" s="215">
        <v>2.33</v>
      </c>
      <c r="BR52" s="215">
        <v>2.2799999999999998</v>
      </c>
      <c r="BS52" s="215">
        <v>1.96</v>
      </c>
      <c r="BT52" s="215">
        <v>2.1</v>
      </c>
      <c r="BU52" s="215">
        <v>2.14</v>
      </c>
      <c r="BV52" s="215">
        <v>2.08</v>
      </c>
      <c r="BW52" s="215">
        <v>1.99</v>
      </c>
      <c r="BX52" s="215">
        <v>2</v>
      </c>
      <c r="BY52" s="215">
        <v>2.08</v>
      </c>
      <c r="BZ52" s="215">
        <v>2.19</v>
      </c>
      <c r="CA52" s="215">
        <v>2.16</v>
      </c>
      <c r="CB52" s="215">
        <v>2.12</v>
      </c>
      <c r="CC52" s="215">
        <v>1.99</v>
      </c>
      <c r="CD52" s="215">
        <v>1.95</v>
      </c>
      <c r="CE52" s="215">
        <v>1.96</v>
      </c>
      <c r="CF52" s="215">
        <v>1.88</v>
      </c>
      <c r="CG52" s="215">
        <v>1.87</v>
      </c>
      <c r="CH52" s="215">
        <v>1.95</v>
      </c>
      <c r="CI52" s="215">
        <v>2.0299999999999998</v>
      </c>
      <c r="CJ52" s="215">
        <v>2.0299999999999998</v>
      </c>
      <c r="CK52" s="215">
        <v>2.31</v>
      </c>
      <c r="CL52" s="215">
        <v>2.37</v>
      </c>
      <c r="CM52" s="215">
        <v>2.27</v>
      </c>
      <c r="CN52" s="215">
        <v>2.2200000000000002</v>
      </c>
      <c r="CO52" s="215">
        <v>2.25</v>
      </c>
      <c r="CP52" s="215">
        <v>2.25</v>
      </c>
      <c r="CQ52" s="215">
        <v>2.2999999999999998</v>
      </c>
      <c r="CR52" s="215">
        <v>2.0699999999999998</v>
      </c>
      <c r="CS52" s="215">
        <v>2.16</v>
      </c>
      <c r="CT52" s="215">
        <v>2.17</v>
      </c>
      <c r="CU52" s="215">
        <v>2.1</v>
      </c>
      <c r="CV52" s="215">
        <v>2.09</v>
      </c>
      <c r="CW52" s="215">
        <v>1.95</v>
      </c>
      <c r="CX52" s="215">
        <v>2.04</v>
      </c>
      <c r="CY52" s="215">
        <v>2.02</v>
      </c>
      <c r="CZ52" s="215">
        <v>1.89</v>
      </c>
      <c r="DA52" s="215">
        <v>1.93</v>
      </c>
      <c r="DB52" s="215">
        <v>1.87</v>
      </c>
      <c r="DC52" s="215">
        <v>1.85</v>
      </c>
      <c r="DD52" s="215">
        <v>1.79</v>
      </c>
      <c r="DE52" s="215">
        <v>1.82</v>
      </c>
      <c r="DF52" s="215">
        <v>1.89</v>
      </c>
      <c r="DG52" s="215">
        <v>1.91</v>
      </c>
      <c r="DH52" s="215">
        <v>1.79</v>
      </c>
      <c r="DI52" s="215">
        <v>1.77</v>
      </c>
      <c r="DJ52" s="215">
        <v>1.76</v>
      </c>
      <c r="DK52" s="215">
        <v>1.88</v>
      </c>
      <c r="DL52" s="215">
        <v>1.85</v>
      </c>
      <c r="DM52" s="215">
        <v>1.93</v>
      </c>
      <c r="DN52" s="215">
        <v>1.96</v>
      </c>
      <c r="DO52" s="215">
        <v>1.99</v>
      </c>
      <c r="DP52" s="215">
        <v>2.04</v>
      </c>
      <c r="DQ52" s="215">
        <v>2.23</v>
      </c>
      <c r="DR52" s="215">
        <v>2.17</v>
      </c>
      <c r="DS52" s="215">
        <v>2.06</v>
      </c>
      <c r="DT52" s="215">
        <v>2.0499999999999998</v>
      </c>
      <c r="DU52" s="215">
        <v>1.64</v>
      </c>
      <c r="DV52" s="215">
        <v>1.73</v>
      </c>
      <c r="DW52" s="215">
        <v>1.78</v>
      </c>
      <c r="DX52" s="215">
        <v>1.76</v>
      </c>
      <c r="DY52" s="215">
        <v>1.84</v>
      </c>
      <c r="DZ52" s="215">
        <v>1.87</v>
      </c>
      <c r="EA52" s="215">
        <v>2.0299999999999998</v>
      </c>
      <c r="EB52" s="215">
        <v>2.12</v>
      </c>
      <c r="EC52" s="215">
        <v>2.09</v>
      </c>
      <c r="ED52" s="215">
        <v>1.92</v>
      </c>
      <c r="EE52" s="215">
        <v>1.94</v>
      </c>
      <c r="EF52" s="215">
        <v>1.99</v>
      </c>
      <c r="EG52" s="215">
        <v>1.98</v>
      </c>
    </row>
    <row r="53" spans="1:137" x14ac:dyDescent="0.3">
      <c r="A53" s="210" t="s">
        <v>986</v>
      </c>
      <c r="B53" s="214" t="s">
        <v>987</v>
      </c>
      <c r="C53" s="215">
        <v>2.69</v>
      </c>
      <c r="D53" s="215">
        <v>2.61</v>
      </c>
      <c r="E53" s="215">
        <v>2.62</v>
      </c>
      <c r="F53" s="215">
        <v>2.62</v>
      </c>
      <c r="G53" s="215">
        <v>2.5099999999999998</v>
      </c>
      <c r="H53" s="215">
        <v>2.41</v>
      </c>
      <c r="I53" s="215">
        <v>2.4</v>
      </c>
      <c r="J53" s="215">
        <v>2.27</v>
      </c>
      <c r="K53" s="215">
        <v>2.15</v>
      </c>
      <c r="L53" s="215">
        <v>2.2999999999999998</v>
      </c>
      <c r="M53" s="215">
        <v>2.37</v>
      </c>
      <c r="N53" s="215">
        <v>2.19</v>
      </c>
      <c r="O53" s="215">
        <v>2.08</v>
      </c>
      <c r="P53" s="215">
        <v>2.2400000000000002</v>
      </c>
      <c r="Q53" s="215">
        <v>2.27</v>
      </c>
      <c r="R53" s="215">
        <v>2.36</v>
      </c>
      <c r="S53" s="215">
        <v>2.39</v>
      </c>
      <c r="T53" s="215">
        <v>2.4900000000000002</v>
      </c>
      <c r="U53" s="215">
        <v>2.59</v>
      </c>
      <c r="V53" s="215">
        <v>2.46</v>
      </c>
      <c r="W53" s="215">
        <v>2.42</v>
      </c>
      <c r="X53" s="215">
        <v>2.42</v>
      </c>
      <c r="Y53" s="215">
        <v>2.42</v>
      </c>
      <c r="Z53" s="215">
        <v>2.52</v>
      </c>
      <c r="AA53" s="215">
        <v>2.58</v>
      </c>
      <c r="AB53" s="215">
        <v>2.59</v>
      </c>
      <c r="AC53" s="215">
        <v>2.69</v>
      </c>
      <c r="AD53" s="215">
        <v>2.73</v>
      </c>
      <c r="AE53" s="215">
        <v>2.68</v>
      </c>
      <c r="AF53" s="215">
        <v>2.74</v>
      </c>
      <c r="AG53" s="215">
        <v>2.68</v>
      </c>
      <c r="AH53" s="215">
        <v>2.78</v>
      </c>
      <c r="AI53" s="215">
        <v>2.75</v>
      </c>
      <c r="AJ53" s="215">
        <v>2.7</v>
      </c>
      <c r="AK53" s="215">
        <v>2.83</v>
      </c>
      <c r="AL53" s="215">
        <v>2.6</v>
      </c>
      <c r="AM53" s="215">
        <v>2.54</v>
      </c>
      <c r="AN53" s="215">
        <v>2.5099999999999998</v>
      </c>
      <c r="AO53" s="215">
        <v>2.78</v>
      </c>
      <c r="AP53" s="215">
        <v>2.84</v>
      </c>
      <c r="AQ53" s="215">
        <v>2.41</v>
      </c>
      <c r="AR53" s="215">
        <v>2.38</v>
      </c>
      <c r="AS53" s="215">
        <v>2.69</v>
      </c>
      <c r="AT53" s="215">
        <v>2.69</v>
      </c>
      <c r="AU53" s="215">
        <v>2.62</v>
      </c>
      <c r="AV53" s="215">
        <v>2.6</v>
      </c>
      <c r="AW53" s="215">
        <v>2.57</v>
      </c>
      <c r="AX53" s="215">
        <v>2.5</v>
      </c>
      <c r="AY53" s="215">
        <v>2.4900000000000002</v>
      </c>
      <c r="AZ53" s="215">
        <v>2.66</v>
      </c>
      <c r="BA53" s="215">
        <v>2.71</v>
      </c>
      <c r="BB53" s="215">
        <v>2.81</v>
      </c>
      <c r="BC53" s="215">
        <v>2.6</v>
      </c>
      <c r="BD53" s="215">
        <v>2.72</v>
      </c>
      <c r="BE53" s="215">
        <v>2.8</v>
      </c>
      <c r="BF53" s="215">
        <v>2.71</v>
      </c>
      <c r="BG53" s="215">
        <v>2.88</v>
      </c>
      <c r="BH53" s="215">
        <v>2.9</v>
      </c>
      <c r="BI53" s="215">
        <v>2.76</v>
      </c>
      <c r="BJ53" s="215">
        <v>2.83</v>
      </c>
      <c r="BK53" s="215">
        <v>2.87</v>
      </c>
      <c r="BL53" s="215">
        <v>2.57</v>
      </c>
      <c r="BM53" s="215">
        <v>1.63</v>
      </c>
      <c r="BN53" s="215">
        <v>1.91</v>
      </c>
      <c r="BO53" s="215">
        <v>2.15</v>
      </c>
      <c r="BP53" s="215">
        <v>2.0499999999999998</v>
      </c>
      <c r="BQ53" s="215">
        <v>2.12</v>
      </c>
      <c r="BR53" s="215">
        <v>1.92</v>
      </c>
      <c r="BS53" s="215">
        <v>1.8</v>
      </c>
      <c r="BT53" s="215">
        <v>1.87</v>
      </c>
      <c r="BU53" s="215">
        <v>1.97</v>
      </c>
      <c r="BV53" s="215">
        <v>1.98</v>
      </c>
      <c r="BW53" s="215">
        <v>1.86</v>
      </c>
      <c r="BX53" s="215">
        <v>1.82</v>
      </c>
      <c r="BY53" s="215">
        <v>1.83</v>
      </c>
      <c r="BZ53" s="215">
        <v>2.06</v>
      </c>
      <c r="CA53" s="215">
        <v>1.99</v>
      </c>
      <c r="CB53" s="215">
        <v>1.95</v>
      </c>
      <c r="CC53" s="215">
        <v>1.9</v>
      </c>
      <c r="CD53" s="215">
        <v>1.87</v>
      </c>
      <c r="CE53" s="215">
        <v>1.77</v>
      </c>
      <c r="CF53" s="215">
        <v>1.76</v>
      </c>
      <c r="CG53" s="215">
        <v>1.76</v>
      </c>
      <c r="CH53" s="215">
        <v>1.76</v>
      </c>
      <c r="CI53" s="215">
        <v>1.94</v>
      </c>
      <c r="CJ53" s="215">
        <v>1.94</v>
      </c>
      <c r="CK53" s="215">
        <v>1.99</v>
      </c>
      <c r="CL53" s="215">
        <v>2.21</v>
      </c>
      <c r="CM53" s="215">
        <v>2.15</v>
      </c>
      <c r="CN53" s="215">
        <v>1.9</v>
      </c>
      <c r="CO53" s="215">
        <v>1.99</v>
      </c>
      <c r="CP53" s="215">
        <v>2.1</v>
      </c>
      <c r="CQ53" s="215">
        <v>1.97</v>
      </c>
      <c r="CR53" s="215">
        <v>1.83</v>
      </c>
      <c r="CS53" s="215">
        <v>1.94</v>
      </c>
      <c r="CT53" s="215">
        <v>2.0099999999999998</v>
      </c>
      <c r="CU53" s="215">
        <v>1.98</v>
      </c>
      <c r="CV53" s="215">
        <v>1.94</v>
      </c>
      <c r="CW53" s="215">
        <v>1.81</v>
      </c>
      <c r="CX53" s="215">
        <v>1.93</v>
      </c>
      <c r="CY53" s="215">
        <v>1.82</v>
      </c>
      <c r="CZ53" s="215">
        <v>1.82</v>
      </c>
      <c r="DA53" s="215">
        <v>1.83</v>
      </c>
      <c r="DB53" s="215">
        <v>1.76</v>
      </c>
      <c r="DC53" s="215">
        <v>1.71</v>
      </c>
      <c r="DD53" s="215">
        <v>1.64</v>
      </c>
      <c r="DE53" s="215">
        <v>1.72</v>
      </c>
      <c r="DF53" s="215">
        <v>1.76</v>
      </c>
      <c r="DG53" s="215">
        <v>1.74</v>
      </c>
      <c r="DH53" s="215">
        <v>1.72</v>
      </c>
      <c r="DI53" s="215">
        <v>1.69</v>
      </c>
      <c r="DJ53" s="215">
        <v>1.62</v>
      </c>
      <c r="DK53" s="215">
        <v>1.76</v>
      </c>
      <c r="DL53" s="215">
        <v>1.8</v>
      </c>
      <c r="DM53" s="215">
        <v>1.8</v>
      </c>
      <c r="DN53" s="215">
        <v>1.83</v>
      </c>
      <c r="DO53" s="215">
        <v>1.93</v>
      </c>
      <c r="DP53" s="215">
        <v>1.93</v>
      </c>
      <c r="DQ53" s="215">
        <v>1.92</v>
      </c>
      <c r="DR53" s="215">
        <v>2</v>
      </c>
      <c r="DS53" s="215">
        <v>1.81</v>
      </c>
      <c r="DT53" s="215">
        <v>1.62</v>
      </c>
      <c r="DU53" s="215">
        <v>1.55</v>
      </c>
      <c r="DV53" s="215">
        <v>1.46</v>
      </c>
      <c r="DW53" s="215">
        <v>1.69</v>
      </c>
      <c r="DX53" s="215">
        <v>1.67</v>
      </c>
      <c r="DY53" s="215">
        <v>1.67</v>
      </c>
      <c r="DZ53" s="215">
        <v>1.82</v>
      </c>
      <c r="EA53" s="215">
        <v>1.79</v>
      </c>
      <c r="EB53" s="215">
        <v>2.0099999999999998</v>
      </c>
      <c r="EC53" s="215">
        <v>1.9</v>
      </c>
      <c r="ED53" s="215">
        <v>1.82</v>
      </c>
      <c r="EE53" s="215">
        <v>1.8</v>
      </c>
      <c r="EF53" s="215">
        <v>1.81</v>
      </c>
      <c r="EG53" s="215">
        <v>1.97</v>
      </c>
    </row>
    <row r="54" spans="1:137" x14ac:dyDescent="0.3">
      <c r="A54" s="210" t="s">
        <v>988</v>
      </c>
      <c r="B54" s="214" t="s">
        <v>989</v>
      </c>
      <c r="C54" s="215">
        <v>2.76</v>
      </c>
      <c r="D54" s="215">
        <v>2.67</v>
      </c>
      <c r="E54" s="215">
        <v>2.69</v>
      </c>
      <c r="F54" s="215">
        <v>2.62</v>
      </c>
      <c r="G54" s="215">
        <v>2.61</v>
      </c>
      <c r="H54" s="215">
        <v>2.41</v>
      </c>
      <c r="I54" s="215">
        <v>2.4700000000000002</v>
      </c>
      <c r="J54" s="215">
        <v>2.27</v>
      </c>
      <c r="K54" s="215">
        <v>2.31</v>
      </c>
      <c r="L54" s="215">
        <v>2.4500000000000002</v>
      </c>
      <c r="M54" s="215">
        <v>2.38</v>
      </c>
      <c r="N54" s="215">
        <v>2.25</v>
      </c>
      <c r="O54" s="215">
        <v>2.27</v>
      </c>
      <c r="P54" s="215">
        <v>2.2599999999999998</v>
      </c>
      <c r="Q54" s="215">
        <v>2.44</v>
      </c>
      <c r="R54" s="215">
        <v>2.42</v>
      </c>
      <c r="S54" s="215">
        <v>2.5</v>
      </c>
      <c r="T54" s="215">
        <v>2.66</v>
      </c>
      <c r="U54" s="215">
        <v>2.61</v>
      </c>
      <c r="V54" s="215">
        <v>2.4700000000000002</v>
      </c>
      <c r="W54" s="215">
        <v>2.5299999999999998</v>
      </c>
      <c r="X54" s="215">
        <v>2.5299999999999998</v>
      </c>
      <c r="Y54" s="215">
        <v>2.5499999999999998</v>
      </c>
      <c r="Z54" s="215">
        <v>2.57</v>
      </c>
      <c r="AA54" s="215">
        <v>2.62</v>
      </c>
      <c r="AB54" s="215">
        <v>2.75</v>
      </c>
      <c r="AC54" s="215">
        <v>2.75</v>
      </c>
      <c r="AD54" s="215">
        <v>2.82</v>
      </c>
      <c r="AE54" s="215">
        <v>2.83</v>
      </c>
      <c r="AF54" s="215">
        <v>2.74</v>
      </c>
      <c r="AG54" s="215">
        <v>2.74</v>
      </c>
      <c r="AH54" s="215">
        <v>2.84</v>
      </c>
      <c r="AI54" s="215">
        <v>2.75</v>
      </c>
      <c r="AJ54" s="215">
        <v>2.85</v>
      </c>
      <c r="AK54" s="215">
        <v>2.94</v>
      </c>
      <c r="AL54" s="215">
        <v>2.6</v>
      </c>
      <c r="AM54" s="215">
        <v>2.6</v>
      </c>
      <c r="AN54" s="215">
        <v>2.83</v>
      </c>
      <c r="AO54" s="215">
        <v>2.89</v>
      </c>
      <c r="AP54" s="215">
        <v>2.9</v>
      </c>
      <c r="AQ54" s="215">
        <v>2.52</v>
      </c>
      <c r="AR54" s="215">
        <v>2.75</v>
      </c>
      <c r="AS54" s="215">
        <v>2.74</v>
      </c>
      <c r="AT54" s="215">
        <v>2.74</v>
      </c>
      <c r="AU54" s="215">
        <v>2.68</v>
      </c>
      <c r="AV54" s="215">
        <v>2.6</v>
      </c>
      <c r="AW54" s="215">
        <v>2.68</v>
      </c>
      <c r="AX54" s="215">
        <v>2.52</v>
      </c>
      <c r="AY54" s="215">
        <v>2.72</v>
      </c>
      <c r="AZ54" s="215">
        <v>2.7</v>
      </c>
      <c r="BA54" s="215">
        <v>2.82</v>
      </c>
      <c r="BB54" s="215">
        <v>2.86</v>
      </c>
      <c r="BC54" s="215">
        <v>2.72</v>
      </c>
      <c r="BD54" s="215">
        <v>2.84</v>
      </c>
      <c r="BE54" s="215">
        <v>2.8</v>
      </c>
      <c r="BF54" s="215">
        <v>2.9</v>
      </c>
      <c r="BG54" s="215">
        <v>3.03</v>
      </c>
      <c r="BH54" s="215">
        <v>2.96</v>
      </c>
      <c r="BI54" s="215">
        <v>2.86</v>
      </c>
      <c r="BJ54" s="215">
        <v>2.94</v>
      </c>
      <c r="BK54" s="215">
        <v>3.11</v>
      </c>
      <c r="BL54" s="215">
        <v>2.57</v>
      </c>
      <c r="BM54" s="215">
        <v>2.08</v>
      </c>
      <c r="BN54" s="215">
        <v>2.2799999999999998</v>
      </c>
      <c r="BO54" s="215">
        <v>2.2999999999999998</v>
      </c>
      <c r="BP54" s="215">
        <v>2.13</v>
      </c>
      <c r="BQ54" s="215">
        <v>2.2599999999999998</v>
      </c>
      <c r="BR54" s="215">
        <v>1.94</v>
      </c>
      <c r="BS54" s="215">
        <v>1.86</v>
      </c>
      <c r="BT54" s="215">
        <v>1.97</v>
      </c>
      <c r="BU54" s="215">
        <v>2.0099999999999998</v>
      </c>
      <c r="BV54" s="215">
        <v>2.0099999999999998</v>
      </c>
      <c r="BW54" s="215">
        <v>1.95</v>
      </c>
      <c r="BX54" s="215">
        <v>1.82</v>
      </c>
      <c r="BY54" s="215">
        <v>2.08</v>
      </c>
      <c r="BZ54" s="215">
        <v>2.15</v>
      </c>
      <c r="CA54" s="215">
        <v>2</v>
      </c>
      <c r="CB54" s="215">
        <v>1.95</v>
      </c>
      <c r="CC54" s="215">
        <v>1.93</v>
      </c>
      <c r="CD54" s="215">
        <v>1.89</v>
      </c>
      <c r="CE54" s="215">
        <v>1.81</v>
      </c>
      <c r="CF54" s="215">
        <v>1.83</v>
      </c>
      <c r="CG54" s="215">
        <v>1.76</v>
      </c>
      <c r="CH54" s="215">
        <v>1.95</v>
      </c>
      <c r="CI54" s="215">
        <v>2.0299999999999998</v>
      </c>
      <c r="CJ54" s="215">
        <v>1.98</v>
      </c>
      <c r="CK54" s="215">
        <v>2.31</v>
      </c>
      <c r="CL54" s="215">
        <v>2.21</v>
      </c>
      <c r="CM54" s="215">
        <v>2.23</v>
      </c>
      <c r="CN54" s="215">
        <v>2.04</v>
      </c>
      <c r="CO54" s="215">
        <v>2.25</v>
      </c>
      <c r="CP54" s="215">
        <v>2.16</v>
      </c>
      <c r="CQ54" s="215">
        <v>1.97</v>
      </c>
      <c r="CR54" s="215">
        <v>1.98</v>
      </c>
      <c r="CS54" s="215">
        <v>2.16</v>
      </c>
      <c r="CT54" s="215">
        <v>2.0099999999999998</v>
      </c>
      <c r="CU54" s="215">
        <v>2.08</v>
      </c>
      <c r="CV54" s="215">
        <v>1.94</v>
      </c>
      <c r="CW54" s="215">
        <v>1.95</v>
      </c>
      <c r="CX54" s="215">
        <v>2.0099999999999998</v>
      </c>
      <c r="CY54" s="215">
        <v>1.82</v>
      </c>
      <c r="CZ54" s="215">
        <v>1.85</v>
      </c>
      <c r="DA54" s="215">
        <v>1.89</v>
      </c>
      <c r="DB54" s="215">
        <v>1.77</v>
      </c>
      <c r="DC54" s="215">
        <v>1.71</v>
      </c>
      <c r="DD54" s="215">
        <v>1.76</v>
      </c>
      <c r="DE54" s="215">
        <v>1.8</v>
      </c>
      <c r="DF54" s="215">
        <v>1.85</v>
      </c>
      <c r="DG54" s="215">
        <v>1.77</v>
      </c>
      <c r="DH54" s="215">
        <v>1.72</v>
      </c>
      <c r="DI54" s="215">
        <v>1.75</v>
      </c>
      <c r="DJ54" s="215">
        <v>1.75</v>
      </c>
      <c r="DK54" s="215">
        <v>1.85</v>
      </c>
      <c r="DL54" s="215">
        <v>1.83</v>
      </c>
      <c r="DM54" s="215">
        <v>1.92</v>
      </c>
      <c r="DN54" s="215">
        <v>1.95</v>
      </c>
      <c r="DO54" s="215">
        <v>1.98</v>
      </c>
      <c r="DP54" s="215">
        <v>1.98</v>
      </c>
      <c r="DQ54" s="215">
        <v>2.2000000000000002</v>
      </c>
      <c r="DR54" s="215">
        <v>2.06</v>
      </c>
      <c r="DS54" s="215">
        <v>1.95</v>
      </c>
      <c r="DT54" s="215">
        <v>1.64</v>
      </c>
      <c r="DU54" s="215">
        <v>1.63</v>
      </c>
      <c r="DV54" s="215">
        <v>1.7</v>
      </c>
      <c r="DW54" s="215">
        <v>1.77</v>
      </c>
      <c r="DX54" s="215">
        <v>1.71</v>
      </c>
      <c r="DY54" s="215">
        <v>1.84</v>
      </c>
      <c r="DZ54" s="215">
        <v>1.86</v>
      </c>
      <c r="EA54" s="215">
        <v>2.0299999999999998</v>
      </c>
      <c r="EB54" s="215">
        <v>2.0699999999999998</v>
      </c>
      <c r="EC54" s="215">
        <v>1.98</v>
      </c>
      <c r="ED54" s="215">
        <v>1.85</v>
      </c>
      <c r="EE54" s="215">
        <v>1.82</v>
      </c>
      <c r="EF54" s="215">
        <v>1.99</v>
      </c>
      <c r="EG54" s="215">
        <v>1.97</v>
      </c>
    </row>
    <row r="55" spans="1:137" x14ac:dyDescent="0.3">
      <c r="A55" s="210" t="s">
        <v>1001</v>
      </c>
      <c r="B55" s="214" t="s">
        <v>205</v>
      </c>
      <c r="C55" s="215">
        <v>11.61</v>
      </c>
      <c r="D55" s="215">
        <v>11.27</v>
      </c>
      <c r="E55" s="215">
        <v>11.09</v>
      </c>
      <c r="F55" s="215">
        <v>11.18</v>
      </c>
      <c r="G55" s="215">
        <v>10.63</v>
      </c>
      <c r="H55" s="215">
        <v>10.26</v>
      </c>
      <c r="I55" s="215">
        <v>10.06</v>
      </c>
      <c r="J55" s="215">
        <v>18.829999999999998</v>
      </c>
      <c r="K55" s="214" t="s">
        <v>996</v>
      </c>
      <c r="L55" s="214" t="s">
        <v>996</v>
      </c>
      <c r="M55" s="214" t="s">
        <v>765</v>
      </c>
      <c r="N55" s="214" t="s">
        <v>765</v>
      </c>
      <c r="O55" s="214" t="s">
        <v>765</v>
      </c>
      <c r="P55" s="214" t="s">
        <v>765</v>
      </c>
      <c r="Q55" s="214" t="s">
        <v>765</v>
      </c>
      <c r="R55" s="214" t="s">
        <v>765</v>
      </c>
      <c r="S55" s="214" t="s">
        <v>765</v>
      </c>
      <c r="T55" s="215">
        <v>10.82</v>
      </c>
      <c r="U55" s="215">
        <v>10.99</v>
      </c>
      <c r="V55" s="215">
        <v>10.66</v>
      </c>
      <c r="W55" s="215">
        <v>10.73</v>
      </c>
      <c r="X55" s="215">
        <v>10.5</v>
      </c>
      <c r="Y55" s="215">
        <v>9.81</v>
      </c>
      <c r="Z55" s="215">
        <v>9.91</v>
      </c>
      <c r="AA55" s="215">
        <v>10.01</v>
      </c>
      <c r="AB55" s="215">
        <v>10.27</v>
      </c>
      <c r="AC55" s="215">
        <v>9.76</v>
      </c>
      <c r="AD55" s="215">
        <v>9.84</v>
      </c>
      <c r="AE55" s="215">
        <v>9.82</v>
      </c>
      <c r="AF55" s="215">
        <v>10.02</v>
      </c>
      <c r="AG55" s="215">
        <v>9.7799999999999994</v>
      </c>
      <c r="AH55" s="215">
        <v>9.8000000000000007</v>
      </c>
      <c r="AI55" s="214" t="s">
        <v>765</v>
      </c>
      <c r="AJ55" s="215">
        <v>10.52</v>
      </c>
      <c r="AK55" s="215">
        <v>10.68</v>
      </c>
      <c r="AL55" s="215">
        <v>10.119999999999999</v>
      </c>
      <c r="AM55" s="215">
        <v>9.4700000000000006</v>
      </c>
      <c r="AN55" s="215">
        <v>9.3699999999999992</v>
      </c>
      <c r="AO55" s="215">
        <v>8.64</v>
      </c>
      <c r="AP55" s="215">
        <v>7.89</v>
      </c>
      <c r="AQ55" s="215">
        <v>7.55</v>
      </c>
      <c r="AR55" s="215">
        <v>7.51</v>
      </c>
      <c r="AS55" s="215">
        <v>7.96</v>
      </c>
      <c r="AT55" s="215">
        <v>8.77</v>
      </c>
      <c r="AU55" s="215">
        <v>8.9499999999999993</v>
      </c>
      <c r="AV55" s="215">
        <v>9.07</v>
      </c>
      <c r="AW55" s="215">
        <v>8.66</v>
      </c>
      <c r="AX55" s="215">
        <v>8.5500000000000007</v>
      </c>
      <c r="AY55" s="215">
        <v>8.48</v>
      </c>
      <c r="AZ55" s="215">
        <v>8.73</v>
      </c>
      <c r="BA55" s="215">
        <v>8.65</v>
      </c>
      <c r="BB55" s="215">
        <v>8.18</v>
      </c>
      <c r="BC55" s="215">
        <v>8.2200000000000006</v>
      </c>
      <c r="BD55" s="215">
        <v>8.67</v>
      </c>
      <c r="BE55" s="215">
        <v>8.82</v>
      </c>
      <c r="BF55" s="215">
        <v>8.75</v>
      </c>
      <c r="BG55" s="215">
        <v>9.0399999999999991</v>
      </c>
      <c r="BH55" s="215">
        <v>9.6</v>
      </c>
      <c r="BI55" s="215">
        <v>10.37</v>
      </c>
      <c r="BJ55" s="215">
        <v>10.62</v>
      </c>
      <c r="BK55" s="215">
        <v>11</v>
      </c>
      <c r="BL55" s="215">
        <v>10.97</v>
      </c>
      <c r="BM55" s="215">
        <v>7.47</v>
      </c>
      <c r="BN55" s="215">
        <v>8.4600000000000009</v>
      </c>
      <c r="BO55" s="215">
        <v>8.39</v>
      </c>
      <c r="BP55" s="215">
        <v>8.43</v>
      </c>
      <c r="BQ55" s="215">
        <v>8.2899999999999991</v>
      </c>
      <c r="BR55" s="215">
        <v>8.52</v>
      </c>
      <c r="BS55" s="215">
        <v>7.93</v>
      </c>
      <c r="BT55" s="215">
        <v>8.4499999999999993</v>
      </c>
      <c r="BU55" s="215">
        <v>8.56</v>
      </c>
      <c r="BV55" s="215">
        <v>8.6300000000000008</v>
      </c>
      <c r="BW55" s="215">
        <v>8.18</v>
      </c>
      <c r="BX55" s="215">
        <v>8.2799999999999994</v>
      </c>
      <c r="BY55" s="215">
        <v>8.61</v>
      </c>
      <c r="BZ55" s="215">
        <v>8.9700000000000006</v>
      </c>
      <c r="CA55" s="215">
        <v>8.8699999999999992</v>
      </c>
      <c r="CB55" s="215">
        <v>8.93</v>
      </c>
      <c r="CC55" s="215">
        <v>8.7100000000000009</v>
      </c>
      <c r="CD55" s="215">
        <v>8.2100000000000009</v>
      </c>
      <c r="CE55" s="215">
        <v>8.08</v>
      </c>
      <c r="CF55" s="215">
        <v>8</v>
      </c>
      <c r="CG55" s="215">
        <v>7.79</v>
      </c>
      <c r="CH55" s="215">
        <v>7.98</v>
      </c>
      <c r="CI55" s="215">
        <v>8.5500000000000007</v>
      </c>
      <c r="CJ55" s="215">
        <v>8.57</v>
      </c>
      <c r="CK55" s="215">
        <v>10.02</v>
      </c>
      <c r="CL55" s="215">
        <v>11.35</v>
      </c>
      <c r="CM55" s="215">
        <v>13.79</v>
      </c>
      <c r="CN55" s="215">
        <v>13.21</v>
      </c>
      <c r="CO55" s="215">
        <v>12.15</v>
      </c>
      <c r="CP55" s="215">
        <v>11.37</v>
      </c>
      <c r="CQ55" s="215">
        <v>11.18</v>
      </c>
      <c r="CR55" s="215">
        <v>9.68</v>
      </c>
      <c r="CS55" s="215">
        <v>9.2100000000000009</v>
      </c>
      <c r="CT55" s="215">
        <v>9.34</v>
      </c>
      <c r="CU55" s="215">
        <v>9.02</v>
      </c>
      <c r="CV55" s="215">
        <v>8.86</v>
      </c>
      <c r="CW55" s="215">
        <v>8.15</v>
      </c>
      <c r="CX55" s="215">
        <v>8.33</v>
      </c>
      <c r="CY55" s="215">
        <v>8.0500000000000007</v>
      </c>
      <c r="CZ55" s="215">
        <v>7.89</v>
      </c>
      <c r="DA55" s="215">
        <v>7.97</v>
      </c>
      <c r="DB55" s="215">
        <v>7.62</v>
      </c>
      <c r="DC55" s="215">
        <v>7.59</v>
      </c>
      <c r="DD55" s="215">
        <v>7.35</v>
      </c>
      <c r="DE55" s="215">
        <v>7.57</v>
      </c>
      <c r="DF55" s="215">
        <v>7.79</v>
      </c>
      <c r="DG55" s="215">
        <v>7.77</v>
      </c>
      <c r="DH55" s="215">
        <v>7.42</v>
      </c>
      <c r="DI55" s="215">
        <v>7.31</v>
      </c>
      <c r="DJ55" s="215">
        <v>7.32</v>
      </c>
      <c r="DK55" s="215">
        <v>7.79</v>
      </c>
      <c r="DL55" s="215">
        <v>7.77</v>
      </c>
      <c r="DM55" s="215">
        <v>7.91</v>
      </c>
      <c r="DN55" s="214" t="s">
        <v>765</v>
      </c>
      <c r="DO55" s="215">
        <v>7.89</v>
      </c>
      <c r="DP55" s="215">
        <v>7.96</v>
      </c>
      <c r="DQ55" s="215">
        <v>8.51</v>
      </c>
      <c r="DR55" s="215">
        <v>8.26</v>
      </c>
      <c r="DS55" s="215">
        <v>7.75</v>
      </c>
      <c r="DT55" s="215">
        <v>7.69</v>
      </c>
      <c r="DU55" s="215">
        <v>7.2</v>
      </c>
      <c r="DV55" s="215">
        <v>7.26</v>
      </c>
      <c r="DW55" s="215">
        <v>7.66</v>
      </c>
      <c r="DX55" s="215">
        <v>7.5</v>
      </c>
      <c r="DY55" s="215">
        <v>7.67</v>
      </c>
      <c r="DZ55" s="215">
        <v>7.92</v>
      </c>
      <c r="EA55" s="215">
        <v>8.06</v>
      </c>
      <c r="EB55" s="215">
        <v>8.82</v>
      </c>
      <c r="EC55" s="215">
        <v>8.6300000000000008</v>
      </c>
      <c r="ED55" s="215">
        <v>8.25</v>
      </c>
      <c r="EE55" s="215">
        <v>8.19</v>
      </c>
      <c r="EF55" s="214" t="s">
        <v>765</v>
      </c>
      <c r="EG55" s="214" t="s">
        <v>765</v>
      </c>
    </row>
    <row r="56" spans="1:137" x14ac:dyDescent="0.3">
      <c r="A56" s="210" t="s">
        <v>190</v>
      </c>
      <c r="B56" s="214" t="s">
        <v>985</v>
      </c>
      <c r="C56" s="215">
        <v>11.89</v>
      </c>
      <c r="D56" s="215">
        <v>11.75</v>
      </c>
      <c r="E56" s="215">
        <v>11.59</v>
      </c>
      <c r="F56" s="215">
        <v>11.39</v>
      </c>
      <c r="G56" s="215">
        <v>11.1</v>
      </c>
      <c r="H56" s="215">
        <v>10.72</v>
      </c>
      <c r="I56" s="215">
        <v>10.35</v>
      </c>
      <c r="J56" s="215">
        <v>27.42</v>
      </c>
      <c r="K56" s="214" t="s">
        <v>996</v>
      </c>
      <c r="L56" s="214" t="s">
        <v>996</v>
      </c>
      <c r="M56" s="214" t="s">
        <v>765</v>
      </c>
      <c r="N56" s="214" t="s">
        <v>765</v>
      </c>
      <c r="O56" s="214" t="s">
        <v>765</v>
      </c>
      <c r="P56" s="214" t="s">
        <v>765</v>
      </c>
      <c r="Q56" s="214" t="s">
        <v>765</v>
      </c>
      <c r="R56" s="214" t="s">
        <v>765</v>
      </c>
      <c r="S56" s="214" t="s">
        <v>765</v>
      </c>
      <c r="T56" s="215">
        <v>11.07</v>
      </c>
      <c r="U56" s="215">
        <v>11.11</v>
      </c>
      <c r="V56" s="215">
        <v>10.9</v>
      </c>
      <c r="W56" s="215">
        <v>11.13</v>
      </c>
      <c r="X56" s="215">
        <v>10.76</v>
      </c>
      <c r="Y56" s="215">
        <v>10.53</v>
      </c>
      <c r="Z56" s="215">
        <v>10.199999999999999</v>
      </c>
      <c r="AA56" s="215">
        <v>10.18</v>
      </c>
      <c r="AB56" s="215">
        <v>10.7</v>
      </c>
      <c r="AC56" s="215">
        <v>9.94</v>
      </c>
      <c r="AD56" s="215">
        <v>10.02</v>
      </c>
      <c r="AE56" s="215">
        <v>10.15</v>
      </c>
      <c r="AF56" s="215">
        <v>10.23</v>
      </c>
      <c r="AG56" s="215">
        <v>10.01</v>
      </c>
      <c r="AH56" s="215">
        <v>10.11</v>
      </c>
      <c r="AI56" s="214" t="s">
        <v>765</v>
      </c>
      <c r="AJ56" s="215">
        <v>10.65</v>
      </c>
      <c r="AK56" s="215">
        <v>10.9</v>
      </c>
      <c r="AL56" s="215">
        <v>10.74</v>
      </c>
      <c r="AM56" s="215">
        <v>9.67</v>
      </c>
      <c r="AN56" s="215">
        <v>9.6999999999999993</v>
      </c>
      <c r="AO56" s="215">
        <v>9.1300000000000008</v>
      </c>
      <c r="AP56" s="215">
        <v>8.02</v>
      </c>
      <c r="AQ56" s="215">
        <v>7.96</v>
      </c>
      <c r="AR56" s="215">
        <v>7.93</v>
      </c>
      <c r="AS56" s="215">
        <v>8.0500000000000007</v>
      </c>
      <c r="AT56" s="215">
        <v>9.0299999999999994</v>
      </c>
      <c r="AU56" s="215">
        <v>9.18</v>
      </c>
      <c r="AV56" s="215">
        <v>9.33</v>
      </c>
      <c r="AW56" s="215">
        <v>9.06</v>
      </c>
      <c r="AX56" s="215">
        <v>8.93</v>
      </c>
      <c r="AY56" s="215">
        <v>8.82</v>
      </c>
      <c r="AZ56" s="215">
        <v>8.94</v>
      </c>
      <c r="BA56" s="215">
        <v>8.8699999999999992</v>
      </c>
      <c r="BB56" s="215">
        <v>8.43</v>
      </c>
      <c r="BC56" s="215">
        <v>8.61</v>
      </c>
      <c r="BD56" s="215">
        <v>8.94</v>
      </c>
      <c r="BE56" s="215">
        <v>8.9700000000000006</v>
      </c>
      <c r="BF56" s="215">
        <v>8.99</v>
      </c>
      <c r="BG56" s="215">
        <v>9.33</v>
      </c>
      <c r="BH56" s="215">
        <v>10.09</v>
      </c>
      <c r="BI56" s="215">
        <v>10.54</v>
      </c>
      <c r="BJ56" s="215">
        <v>10.81</v>
      </c>
      <c r="BK56" s="215">
        <v>11.46</v>
      </c>
      <c r="BL56" s="215">
        <v>11.46</v>
      </c>
      <c r="BM56" s="215">
        <v>9.07</v>
      </c>
      <c r="BN56" s="215">
        <v>9.24</v>
      </c>
      <c r="BO56" s="215">
        <v>8.64</v>
      </c>
      <c r="BP56" s="215">
        <v>9.15</v>
      </c>
      <c r="BQ56" s="215">
        <v>8.6300000000000008</v>
      </c>
      <c r="BR56" s="215">
        <v>8.9700000000000006</v>
      </c>
      <c r="BS56" s="215">
        <v>8.3000000000000007</v>
      </c>
      <c r="BT56" s="215">
        <v>8.92</v>
      </c>
      <c r="BU56" s="215">
        <v>8.86</v>
      </c>
      <c r="BV56" s="215">
        <v>8.9</v>
      </c>
      <c r="BW56" s="215">
        <v>8.41</v>
      </c>
      <c r="BX56" s="215">
        <v>8.4700000000000006</v>
      </c>
      <c r="BY56" s="215">
        <v>9.01</v>
      </c>
      <c r="BZ56" s="215">
        <v>9.1999999999999993</v>
      </c>
      <c r="CA56" s="215">
        <v>9.1</v>
      </c>
      <c r="CB56" s="215">
        <v>9.31</v>
      </c>
      <c r="CC56" s="215">
        <v>8.89</v>
      </c>
      <c r="CD56" s="215">
        <v>8.69</v>
      </c>
      <c r="CE56" s="215">
        <v>8.4</v>
      </c>
      <c r="CF56" s="215">
        <v>8.27</v>
      </c>
      <c r="CG56" s="215">
        <v>8.11</v>
      </c>
      <c r="CH56" s="215">
        <v>8.36</v>
      </c>
      <c r="CI56" s="215">
        <v>8.73</v>
      </c>
      <c r="CJ56" s="215">
        <v>8.9</v>
      </c>
      <c r="CK56" s="215">
        <v>11.22</v>
      </c>
      <c r="CL56" s="215">
        <v>11.82</v>
      </c>
      <c r="CM56" s="215">
        <v>14.52</v>
      </c>
      <c r="CN56" s="215">
        <v>14.26</v>
      </c>
      <c r="CO56" s="215">
        <v>13.38</v>
      </c>
      <c r="CP56" s="215">
        <v>12.64</v>
      </c>
      <c r="CQ56" s="215">
        <v>11.83</v>
      </c>
      <c r="CR56" s="215">
        <v>10.61</v>
      </c>
      <c r="CS56" s="215">
        <v>9.8699999999999992</v>
      </c>
      <c r="CT56" s="215">
        <v>9.73</v>
      </c>
      <c r="CU56" s="215">
        <v>9.19</v>
      </c>
      <c r="CV56" s="215">
        <v>9.1300000000000008</v>
      </c>
      <c r="CW56" s="215">
        <v>8.5399999999999991</v>
      </c>
      <c r="CX56" s="215">
        <v>8.5</v>
      </c>
      <c r="CY56" s="215">
        <v>8.42</v>
      </c>
      <c r="CZ56" s="215">
        <v>8.0299999999999994</v>
      </c>
      <c r="DA56" s="215">
        <v>8.2100000000000009</v>
      </c>
      <c r="DB56" s="215">
        <v>7.96</v>
      </c>
      <c r="DC56" s="215">
        <v>7.85</v>
      </c>
      <c r="DD56" s="215">
        <v>7.57</v>
      </c>
      <c r="DE56" s="215">
        <v>7.73</v>
      </c>
      <c r="DF56" s="215">
        <v>8.06</v>
      </c>
      <c r="DG56" s="215">
        <v>8.11</v>
      </c>
      <c r="DH56" s="215">
        <v>7.62</v>
      </c>
      <c r="DI56" s="215">
        <v>7.52</v>
      </c>
      <c r="DJ56" s="215">
        <v>7.52</v>
      </c>
      <c r="DK56" s="215">
        <v>8.0299999999999994</v>
      </c>
      <c r="DL56" s="215">
        <v>7.91</v>
      </c>
      <c r="DM56" s="215">
        <v>8.2200000000000006</v>
      </c>
      <c r="DN56" s="214" t="s">
        <v>765</v>
      </c>
      <c r="DO56" s="215">
        <v>7.98</v>
      </c>
      <c r="DP56" s="215">
        <v>8.17</v>
      </c>
      <c r="DQ56" s="215">
        <v>8.85</v>
      </c>
      <c r="DR56" s="215">
        <v>8.61</v>
      </c>
      <c r="DS56" s="215">
        <v>8.19</v>
      </c>
      <c r="DT56" s="215">
        <v>8.15</v>
      </c>
      <c r="DU56" s="215">
        <v>7.39</v>
      </c>
      <c r="DV56" s="215">
        <v>7.77</v>
      </c>
      <c r="DW56" s="215">
        <v>7.83</v>
      </c>
      <c r="DX56" s="215">
        <v>7.74</v>
      </c>
      <c r="DY56" s="215">
        <v>8.11</v>
      </c>
      <c r="DZ56" s="215">
        <v>8.24</v>
      </c>
      <c r="EA56" s="215">
        <v>8.64</v>
      </c>
      <c r="EB56" s="215">
        <v>9.02</v>
      </c>
      <c r="EC56" s="215">
        <v>8.8800000000000008</v>
      </c>
      <c r="ED56" s="215">
        <v>8.5</v>
      </c>
      <c r="EE56" s="215">
        <v>8.6</v>
      </c>
      <c r="EF56" s="214" t="s">
        <v>765</v>
      </c>
      <c r="EG56" s="214" t="s">
        <v>765</v>
      </c>
    </row>
    <row r="57" spans="1:137" x14ac:dyDescent="0.3">
      <c r="A57" s="210" t="s">
        <v>986</v>
      </c>
      <c r="B57" s="214" t="s">
        <v>987</v>
      </c>
      <c r="C57" s="215">
        <v>11.26</v>
      </c>
      <c r="D57" s="215">
        <v>10.89</v>
      </c>
      <c r="E57" s="215">
        <v>10.69</v>
      </c>
      <c r="F57" s="215">
        <v>10.95</v>
      </c>
      <c r="G57" s="215">
        <v>10.28</v>
      </c>
      <c r="H57" s="215">
        <v>9.86</v>
      </c>
      <c r="I57" s="215">
        <v>9.85</v>
      </c>
      <c r="J57" s="215">
        <v>10.24</v>
      </c>
      <c r="K57" s="214" t="s">
        <v>996</v>
      </c>
      <c r="L57" s="214" t="s">
        <v>996</v>
      </c>
      <c r="M57" s="214" t="s">
        <v>765</v>
      </c>
      <c r="N57" s="214" t="s">
        <v>765</v>
      </c>
      <c r="O57" s="214" t="s">
        <v>765</v>
      </c>
      <c r="P57" s="214" t="s">
        <v>765</v>
      </c>
      <c r="Q57" s="214" t="s">
        <v>765</v>
      </c>
      <c r="R57" s="214" t="s">
        <v>765</v>
      </c>
      <c r="S57" s="214" t="s">
        <v>765</v>
      </c>
      <c r="T57" s="215">
        <v>10.71</v>
      </c>
      <c r="U57" s="215">
        <v>10.83</v>
      </c>
      <c r="V57" s="215">
        <v>10.43</v>
      </c>
      <c r="W57" s="215">
        <v>10.3</v>
      </c>
      <c r="X57" s="215">
        <v>10.31</v>
      </c>
      <c r="Y57" s="215">
        <v>9.2899999999999991</v>
      </c>
      <c r="Z57" s="215">
        <v>9.68</v>
      </c>
      <c r="AA57" s="215">
        <v>9.89</v>
      </c>
      <c r="AB57" s="215">
        <v>9.75</v>
      </c>
      <c r="AC57" s="215">
        <v>9.5500000000000007</v>
      </c>
      <c r="AD57" s="215">
        <v>9.65</v>
      </c>
      <c r="AE57" s="215">
        <v>9.6300000000000008</v>
      </c>
      <c r="AF57" s="215">
        <v>9.82</v>
      </c>
      <c r="AG57" s="215">
        <v>9.6300000000000008</v>
      </c>
      <c r="AH57" s="215">
        <v>9.61</v>
      </c>
      <c r="AI57" s="214" t="s">
        <v>765</v>
      </c>
      <c r="AJ57" s="215">
        <v>10.3</v>
      </c>
      <c r="AK57" s="215">
        <v>10.4</v>
      </c>
      <c r="AL57" s="215">
        <v>9.5299999999999994</v>
      </c>
      <c r="AM57" s="215">
        <v>9.25</v>
      </c>
      <c r="AN57" s="215">
        <v>8.99</v>
      </c>
      <c r="AO57" s="215">
        <v>7.83</v>
      </c>
      <c r="AP57" s="215">
        <v>7.79</v>
      </c>
      <c r="AQ57" s="215">
        <v>7.17</v>
      </c>
      <c r="AR57" s="215">
        <v>6.8</v>
      </c>
      <c r="AS57" s="215">
        <v>7.85</v>
      </c>
      <c r="AT57" s="215">
        <v>7.88</v>
      </c>
      <c r="AU57" s="215">
        <v>8.57</v>
      </c>
      <c r="AV57" s="215">
        <v>8.7899999999999991</v>
      </c>
      <c r="AW57" s="215">
        <v>8.36</v>
      </c>
      <c r="AX57" s="215">
        <v>8.08</v>
      </c>
      <c r="AY57" s="215">
        <v>8.0399999999999991</v>
      </c>
      <c r="AZ57" s="215">
        <v>8.36</v>
      </c>
      <c r="BA57" s="215">
        <v>8.08</v>
      </c>
      <c r="BB57" s="215">
        <v>7.9</v>
      </c>
      <c r="BC57" s="215">
        <v>7.94</v>
      </c>
      <c r="BD57" s="215">
        <v>8.36</v>
      </c>
      <c r="BE57" s="215">
        <v>8.6</v>
      </c>
      <c r="BF57" s="215">
        <v>8.35</v>
      </c>
      <c r="BG57" s="215">
        <v>8.8699999999999992</v>
      </c>
      <c r="BH57" s="215">
        <v>9.1</v>
      </c>
      <c r="BI57" s="215">
        <v>10.15</v>
      </c>
      <c r="BJ57" s="215">
        <v>10.37</v>
      </c>
      <c r="BK57" s="215">
        <v>10.51</v>
      </c>
      <c r="BL57" s="215">
        <v>8.57</v>
      </c>
      <c r="BM57" s="215">
        <v>5.45</v>
      </c>
      <c r="BN57" s="215">
        <v>7.34</v>
      </c>
      <c r="BO57" s="215">
        <v>8.0500000000000007</v>
      </c>
      <c r="BP57" s="215">
        <v>7.64</v>
      </c>
      <c r="BQ57" s="215">
        <v>7.89</v>
      </c>
      <c r="BR57" s="215">
        <v>8.15</v>
      </c>
      <c r="BS57" s="215">
        <v>7.63</v>
      </c>
      <c r="BT57" s="215">
        <v>7.93</v>
      </c>
      <c r="BU57" s="215">
        <v>8.1300000000000008</v>
      </c>
      <c r="BV57" s="215">
        <v>8.32</v>
      </c>
      <c r="BW57" s="215">
        <v>7.88</v>
      </c>
      <c r="BX57" s="215">
        <v>7.88</v>
      </c>
      <c r="BY57" s="215">
        <v>7.95</v>
      </c>
      <c r="BZ57" s="215">
        <v>8.76</v>
      </c>
      <c r="CA57" s="215">
        <v>8.73</v>
      </c>
      <c r="CB57" s="215">
        <v>8.74</v>
      </c>
      <c r="CC57" s="215">
        <v>8.5</v>
      </c>
      <c r="CD57" s="215">
        <v>8.0399999999999991</v>
      </c>
      <c r="CE57" s="215">
        <v>7.59</v>
      </c>
      <c r="CF57" s="215">
        <v>7.71</v>
      </c>
      <c r="CG57" s="215">
        <v>7.47</v>
      </c>
      <c r="CH57" s="215">
        <v>7.49</v>
      </c>
      <c r="CI57" s="215">
        <v>8.27</v>
      </c>
      <c r="CJ57" s="215">
        <v>8.4</v>
      </c>
      <c r="CK57" s="215">
        <v>8.9600000000000009</v>
      </c>
      <c r="CL57" s="215">
        <v>10.99</v>
      </c>
      <c r="CM57" s="215">
        <v>11.4</v>
      </c>
      <c r="CN57" s="215">
        <v>12.15</v>
      </c>
      <c r="CO57" s="215">
        <v>11.22</v>
      </c>
      <c r="CP57" s="215">
        <v>10.76</v>
      </c>
      <c r="CQ57" s="215">
        <v>10.1</v>
      </c>
      <c r="CR57" s="215">
        <v>9.11</v>
      </c>
      <c r="CS57" s="215">
        <v>8.7100000000000009</v>
      </c>
      <c r="CT57" s="215">
        <v>8.99</v>
      </c>
      <c r="CU57" s="215">
        <v>8.83</v>
      </c>
      <c r="CV57" s="215">
        <v>8.48</v>
      </c>
      <c r="CW57" s="215">
        <v>7.6</v>
      </c>
      <c r="CX57" s="215">
        <v>8.0399999999999991</v>
      </c>
      <c r="CY57" s="215">
        <v>7.73</v>
      </c>
      <c r="CZ57" s="215">
        <v>7.74</v>
      </c>
      <c r="DA57" s="215">
        <v>7.76</v>
      </c>
      <c r="DB57" s="215">
        <v>7.44</v>
      </c>
      <c r="DC57" s="215">
        <v>7.24</v>
      </c>
      <c r="DD57" s="215">
        <v>6.97</v>
      </c>
      <c r="DE57" s="215">
        <v>7.29</v>
      </c>
      <c r="DF57" s="215">
        <v>7.48</v>
      </c>
      <c r="DG57" s="215">
        <v>7.38</v>
      </c>
      <c r="DH57" s="215">
        <v>7.3</v>
      </c>
      <c r="DI57" s="215">
        <v>7.18</v>
      </c>
      <c r="DJ57" s="215">
        <v>6.91</v>
      </c>
      <c r="DK57" s="215">
        <v>7.49</v>
      </c>
      <c r="DL57" s="215">
        <v>7.67</v>
      </c>
      <c r="DM57" s="215">
        <v>7.68</v>
      </c>
      <c r="DN57" s="214" t="s">
        <v>765</v>
      </c>
      <c r="DO57" s="215">
        <v>7.76</v>
      </c>
      <c r="DP57" s="215">
        <v>7.73</v>
      </c>
      <c r="DQ57" s="215">
        <v>7.68</v>
      </c>
      <c r="DR57" s="215">
        <v>7.95</v>
      </c>
      <c r="DS57" s="215">
        <v>7.19</v>
      </c>
      <c r="DT57" s="215">
        <v>6.49</v>
      </c>
      <c r="DU57" s="215">
        <v>6.97</v>
      </c>
      <c r="DV57" s="215">
        <v>6.56</v>
      </c>
      <c r="DW57" s="215">
        <v>7.43</v>
      </c>
      <c r="DX57" s="215">
        <v>7.32</v>
      </c>
      <c r="DY57" s="215">
        <v>7.36</v>
      </c>
      <c r="DZ57" s="215">
        <v>7.77</v>
      </c>
      <c r="EA57" s="215">
        <v>7.62</v>
      </c>
      <c r="EB57" s="215">
        <v>8.57</v>
      </c>
      <c r="EC57" s="215">
        <v>8.43</v>
      </c>
      <c r="ED57" s="215">
        <v>8.06</v>
      </c>
      <c r="EE57" s="215">
        <v>7.97</v>
      </c>
      <c r="EF57" s="214" t="s">
        <v>765</v>
      </c>
      <c r="EG57" s="214" t="s">
        <v>765</v>
      </c>
    </row>
    <row r="58" spans="1:137" x14ac:dyDescent="0.3">
      <c r="A58" s="210" t="s">
        <v>988</v>
      </c>
      <c r="B58" s="214" t="s">
        <v>989</v>
      </c>
      <c r="C58" s="215">
        <v>11.56</v>
      </c>
      <c r="D58" s="215">
        <v>10.89</v>
      </c>
      <c r="E58" s="215">
        <v>11.24</v>
      </c>
      <c r="F58" s="215">
        <v>10.95</v>
      </c>
      <c r="G58" s="215">
        <v>10.71</v>
      </c>
      <c r="H58" s="215">
        <v>9.86</v>
      </c>
      <c r="I58" s="215">
        <v>10.14</v>
      </c>
      <c r="J58" s="214" t="s">
        <v>996</v>
      </c>
      <c r="K58" s="214" t="s">
        <v>996</v>
      </c>
      <c r="L58" s="214" t="s">
        <v>996</v>
      </c>
      <c r="M58" s="214" t="s">
        <v>765</v>
      </c>
      <c r="N58" s="214" t="s">
        <v>765</v>
      </c>
      <c r="O58" s="214" t="s">
        <v>765</v>
      </c>
      <c r="P58" s="214" t="s">
        <v>765</v>
      </c>
      <c r="Q58" s="214" t="s">
        <v>765</v>
      </c>
      <c r="R58" s="214" t="s">
        <v>765</v>
      </c>
      <c r="S58" s="214" t="s">
        <v>765</v>
      </c>
      <c r="T58" s="215">
        <v>11.07</v>
      </c>
      <c r="U58" s="215">
        <v>10.92</v>
      </c>
      <c r="V58" s="215">
        <v>10.51</v>
      </c>
      <c r="W58" s="215">
        <v>10.77</v>
      </c>
      <c r="X58" s="215">
        <v>10.76</v>
      </c>
      <c r="Y58" s="215">
        <v>9.7899999999999991</v>
      </c>
      <c r="Z58" s="215">
        <v>9.8699999999999992</v>
      </c>
      <c r="AA58" s="215">
        <v>10.039999999999999</v>
      </c>
      <c r="AB58" s="215">
        <v>9.75</v>
      </c>
      <c r="AC58" s="215">
        <v>9.77</v>
      </c>
      <c r="AD58" s="215">
        <v>9.9700000000000006</v>
      </c>
      <c r="AE58" s="215">
        <v>10.15</v>
      </c>
      <c r="AF58" s="215">
        <v>9.82</v>
      </c>
      <c r="AG58" s="215">
        <v>9.84</v>
      </c>
      <c r="AH58" s="215">
        <v>9.81</v>
      </c>
      <c r="AI58" s="214" t="s">
        <v>765</v>
      </c>
      <c r="AJ58" s="215">
        <v>10.48</v>
      </c>
      <c r="AK58" s="215">
        <v>10.79</v>
      </c>
      <c r="AL58" s="215">
        <v>9.5299999999999994</v>
      </c>
      <c r="AM58" s="215">
        <v>9.4700000000000006</v>
      </c>
      <c r="AN58" s="215">
        <v>8.99</v>
      </c>
      <c r="AO58" s="215">
        <v>7.92</v>
      </c>
      <c r="AP58" s="215">
        <v>7.96</v>
      </c>
      <c r="AQ58" s="215">
        <v>7.19</v>
      </c>
      <c r="AR58" s="215">
        <v>7.86</v>
      </c>
      <c r="AS58" s="215">
        <v>7.99</v>
      </c>
      <c r="AT58" s="215">
        <v>8.9600000000000009</v>
      </c>
      <c r="AU58" s="215">
        <v>8.7799999999999994</v>
      </c>
      <c r="AV58" s="215">
        <v>8.81</v>
      </c>
      <c r="AW58" s="215">
        <v>8.68</v>
      </c>
      <c r="AX58" s="215">
        <v>8.15</v>
      </c>
      <c r="AY58" s="215">
        <v>8.82</v>
      </c>
      <c r="AZ58" s="215">
        <v>8.4700000000000006</v>
      </c>
      <c r="BA58" s="215">
        <v>8.18</v>
      </c>
      <c r="BB58" s="215">
        <v>8.06</v>
      </c>
      <c r="BC58" s="215">
        <v>8.33</v>
      </c>
      <c r="BD58" s="215">
        <v>8.7100000000000009</v>
      </c>
      <c r="BE58" s="215">
        <v>8.6</v>
      </c>
      <c r="BF58" s="215">
        <v>8.9600000000000009</v>
      </c>
      <c r="BG58" s="215">
        <v>9.33</v>
      </c>
      <c r="BH58" s="215">
        <v>9.85</v>
      </c>
      <c r="BI58" s="215">
        <v>10.47</v>
      </c>
      <c r="BJ58" s="215">
        <v>10.77</v>
      </c>
      <c r="BK58" s="215">
        <v>11.43</v>
      </c>
      <c r="BL58" s="215">
        <v>8.57</v>
      </c>
      <c r="BM58" s="215">
        <v>8</v>
      </c>
      <c r="BN58" s="215">
        <v>8.5399999999999991</v>
      </c>
      <c r="BO58" s="215">
        <v>8.57</v>
      </c>
      <c r="BP58" s="215">
        <v>7.95</v>
      </c>
      <c r="BQ58" s="215">
        <v>8.4</v>
      </c>
      <c r="BR58" s="215">
        <v>8.24</v>
      </c>
      <c r="BS58" s="215">
        <v>7.88</v>
      </c>
      <c r="BT58" s="215">
        <v>8.35</v>
      </c>
      <c r="BU58" s="215">
        <v>8.31</v>
      </c>
      <c r="BV58" s="215">
        <v>8.59</v>
      </c>
      <c r="BW58" s="215">
        <v>8.26</v>
      </c>
      <c r="BX58" s="215">
        <v>7.88</v>
      </c>
      <c r="BY58" s="215">
        <v>9.01</v>
      </c>
      <c r="BZ58" s="215">
        <v>9.07</v>
      </c>
      <c r="CA58" s="215">
        <v>8.75</v>
      </c>
      <c r="CB58" s="215">
        <v>8.74</v>
      </c>
      <c r="CC58" s="215">
        <v>8.6</v>
      </c>
      <c r="CD58" s="215">
        <v>8.1300000000000008</v>
      </c>
      <c r="CE58" s="215">
        <v>7.77</v>
      </c>
      <c r="CF58" s="215">
        <v>8.0299999999999994</v>
      </c>
      <c r="CG58" s="215">
        <v>7.5</v>
      </c>
      <c r="CH58" s="215">
        <v>8.36</v>
      </c>
      <c r="CI58" s="215">
        <v>8.68</v>
      </c>
      <c r="CJ58" s="215">
        <v>8.9</v>
      </c>
      <c r="CK58" s="215">
        <v>11.22</v>
      </c>
      <c r="CL58" s="215">
        <v>11.52</v>
      </c>
      <c r="CM58" s="215">
        <v>14.27</v>
      </c>
      <c r="CN58" s="215">
        <v>13.09</v>
      </c>
      <c r="CO58" s="215">
        <v>12.68</v>
      </c>
      <c r="CP58" s="215">
        <v>11.11</v>
      </c>
      <c r="CQ58" s="215">
        <v>10.1</v>
      </c>
      <c r="CR58" s="215">
        <v>9.84</v>
      </c>
      <c r="CS58" s="215">
        <v>9.67</v>
      </c>
      <c r="CT58" s="215">
        <v>8.99</v>
      </c>
      <c r="CU58" s="215">
        <v>9.09</v>
      </c>
      <c r="CV58" s="215">
        <v>8.48</v>
      </c>
      <c r="CW58" s="215">
        <v>8.1199999999999992</v>
      </c>
      <c r="CX58" s="215">
        <v>8.3699999999999992</v>
      </c>
      <c r="CY58" s="215">
        <v>7.73</v>
      </c>
      <c r="CZ58" s="215">
        <v>7.84</v>
      </c>
      <c r="DA58" s="215">
        <v>8.0500000000000007</v>
      </c>
      <c r="DB58" s="215">
        <v>7.5</v>
      </c>
      <c r="DC58" s="215">
        <v>7.27</v>
      </c>
      <c r="DD58" s="215">
        <v>7.48</v>
      </c>
      <c r="DE58" s="215">
        <v>7.64</v>
      </c>
      <c r="DF58" s="215">
        <v>7.88</v>
      </c>
      <c r="DG58" s="215">
        <v>7.53</v>
      </c>
      <c r="DH58" s="215">
        <v>7.32</v>
      </c>
      <c r="DI58" s="215">
        <v>7.44</v>
      </c>
      <c r="DJ58" s="215">
        <v>7.45</v>
      </c>
      <c r="DK58" s="215">
        <v>7.89</v>
      </c>
      <c r="DL58" s="215">
        <v>7.8</v>
      </c>
      <c r="DM58" s="215">
        <v>8.1999999999999993</v>
      </c>
      <c r="DN58" s="214" t="s">
        <v>765</v>
      </c>
      <c r="DO58" s="215">
        <v>7.95</v>
      </c>
      <c r="DP58" s="215">
        <v>7.92</v>
      </c>
      <c r="DQ58" s="215">
        <v>8.75</v>
      </c>
      <c r="DR58" s="215">
        <v>8.1999999999999993</v>
      </c>
      <c r="DS58" s="215">
        <v>7.75</v>
      </c>
      <c r="DT58" s="215">
        <v>7.36</v>
      </c>
      <c r="DU58" s="215">
        <v>7.33</v>
      </c>
      <c r="DV58" s="215">
        <v>7.63</v>
      </c>
      <c r="DW58" s="215">
        <v>7.8</v>
      </c>
      <c r="DX58" s="215">
        <v>7.52</v>
      </c>
      <c r="DY58" s="215">
        <v>8.11</v>
      </c>
      <c r="DZ58" s="215">
        <v>7.93</v>
      </c>
      <c r="EA58" s="215">
        <v>8.64</v>
      </c>
      <c r="EB58" s="215">
        <v>8.82</v>
      </c>
      <c r="EC58" s="215">
        <v>8.8000000000000007</v>
      </c>
      <c r="ED58" s="215">
        <v>8.1999999999999993</v>
      </c>
      <c r="EE58" s="215">
        <v>8.08</v>
      </c>
      <c r="EF58" s="214" t="s">
        <v>765</v>
      </c>
      <c r="EG58" s="214" t="s">
        <v>765</v>
      </c>
    </row>
    <row r="59" spans="1:137" x14ac:dyDescent="0.3">
      <c r="A59" s="210" t="s">
        <v>1002</v>
      </c>
      <c r="B59" s="214" t="s">
        <v>205</v>
      </c>
      <c r="C59" s="214" t="s">
        <v>996</v>
      </c>
      <c r="D59" s="214" t="s">
        <v>996</v>
      </c>
      <c r="E59" s="214" t="s">
        <v>996</v>
      </c>
      <c r="F59" s="214" t="s">
        <v>996</v>
      </c>
      <c r="G59" s="214" t="s">
        <v>996</v>
      </c>
      <c r="H59" s="214" t="s">
        <v>996</v>
      </c>
      <c r="I59" s="214" t="s">
        <v>996</v>
      </c>
      <c r="J59" s="214" t="s">
        <v>996</v>
      </c>
      <c r="K59" s="214" t="s">
        <v>996</v>
      </c>
      <c r="L59" s="214" t="s">
        <v>996</v>
      </c>
      <c r="M59" s="215">
        <v>159.27000000000001</v>
      </c>
      <c r="N59" s="215">
        <v>153.32</v>
      </c>
      <c r="O59" s="215">
        <v>149.75</v>
      </c>
      <c r="P59" s="215">
        <v>144.87</v>
      </c>
      <c r="Q59" s="215">
        <v>60.42</v>
      </c>
      <c r="R59" s="215">
        <v>61.44</v>
      </c>
      <c r="S59" s="215">
        <v>149.26</v>
      </c>
      <c r="T59" s="215">
        <v>163.41999999999999</v>
      </c>
      <c r="U59" s="215">
        <v>166.48</v>
      </c>
      <c r="V59" s="215">
        <v>164.51</v>
      </c>
      <c r="W59" s="214" t="s">
        <v>996</v>
      </c>
      <c r="X59" s="214" t="s">
        <v>996</v>
      </c>
      <c r="Y59" s="214" t="s">
        <v>996</v>
      </c>
      <c r="Z59" s="214" t="s">
        <v>996</v>
      </c>
      <c r="AA59" s="214" t="s">
        <v>996</v>
      </c>
      <c r="AB59" s="214" t="s">
        <v>996</v>
      </c>
      <c r="AC59" s="214" t="s">
        <v>996</v>
      </c>
      <c r="AD59" s="214" t="s">
        <v>996</v>
      </c>
      <c r="AE59" s="214" t="s">
        <v>996</v>
      </c>
      <c r="AF59" s="214" t="s">
        <v>996</v>
      </c>
      <c r="AG59" s="214" t="s">
        <v>996</v>
      </c>
      <c r="AH59" s="214" t="s">
        <v>996</v>
      </c>
      <c r="AI59" s="214" t="s">
        <v>996</v>
      </c>
      <c r="AJ59" s="214" t="s">
        <v>996</v>
      </c>
      <c r="AK59" s="214" t="s">
        <v>996</v>
      </c>
      <c r="AL59" s="214" t="s">
        <v>996</v>
      </c>
      <c r="AM59" s="214" t="s">
        <v>996</v>
      </c>
      <c r="AN59" s="214" t="s">
        <v>996</v>
      </c>
      <c r="AO59" s="214" t="s">
        <v>996</v>
      </c>
      <c r="AP59" s="214" t="s">
        <v>996</v>
      </c>
      <c r="AQ59" s="214" t="s">
        <v>996</v>
      </c>
      <c r="AR59" s="214" t="s">
        <v>996</v>
      </c>
      <c r="AS59" s="214" t="s">
        <v>996</v>
      </c>
      <c r="AT59" s="214" t="s">
        <v>996</v>
      </c>
      <c r="AU59" s="214" t="s">
        <v>996</v>
      </c>
      <c r="AV59" s="214" t="s">
        <v>996</v>
      </c>
      <c r="AW59" s="214" t="s">
        <v>996</v>
      </c>
      <c r="AX59" s="214" t="s">
        <v>996</v>
      </c>
      <c r="AY59" s="214" t="s">
        <v>996</v>
      </c>
      <c r="AZ59" s="214" t="s">
        <v>996</v>
      </c>
      <c r="BA59" s="214" t="s">
        <v>996</v>
      </c>
      <c r="BB59" s="214" t="s">
        <v>996</v>
      </c>
      <c r="BC59" s="214" t="s">
        <v>996</v>
      </c>
      <c r="BD59" s="214" t="s">
        <v>996</v>
      </c>
      <c r="BE59" s="214" t="s">
        <v>996</v>
      </c>
      <c r="BF59" s="215">
        <v>48.47</v>
      </c>
      <c r="BG59" s="215">
        <v>49.32</v>
      </c>
      <c r="BH59" s="215">
        <v>49.79</v>
      </c>
      <c r="BI59" s="215">
        <v>70.03</v>
      </c>
      <c r="BJ59" s="215">
        <v>71.010000000000005</v>
      </c>
      <c r="BK59" s="215">
        <v>72.47</v>
      </c>
      <c r="BL59" s="215">
        <v>73.36</v>
      </c>
      <c r="BM59" s="214" t="s">
        <v>996</v>
      </c>
      <c r="BN59" s="214" t="s">
        <v>996</v>
      </c>
      <c r="BO59" s="214" t="s">
        <v>996</v>
      </c>
      <c r="BP59" s="214" t="s">
        <v>996</v>
      </c>
      <c r="BQ59" s="214" t="s">
        <v>996</v>
      </c>
      <c r="BR59" s="214" t="s">
        <v>996</v>
      </c>
      <c r="BS59" s="214" t="s">
        <v>996</v>
      </c>
      <c r="BT59" s="214" t="s">
        <v>996</v>
      </c>
      <c r="BU59" s="214" t="s">
        <v>996</v>
      </c>
      <c r="BV59" s="214" t="s">
        <v>996</v>
      </c>
      <c r="BW59" s="214" t="s">
        <v>996</v>
      </c>
      <c r="BX59" s="214" t="s">
        <v>996</v>
      </c>
      <c r="BY59" s="214" t="s">
        <v>996</v>
      </c>
      <c r="BZ59" s="214" t="s">
        <v>996</v>
      </c>
      <c r="CA59" s="214" t="s">
        <v>996</v>
      </c>
      <c r="CB59" s="214" t="s">
        <v>996</v>
      </c>
      <c r="CC59" s="214" t="s">
        <v>996</v>
      </c>
      <c r="CD59" s="214" t="s">
        <v>996</v>
      </c>
      <c r="CE59" s="214" t="s">
        <v>996</v>
      </c>
      <c r="CF59" s="214" t="s">
        <v>996</v>
      </c>
      <c r="CG59" s="215">
        <v>123.8</v>
      </c>
      <c r="CH59" s="215">
        <v>125.85</v>
      </c>
      <c r="CI59" s="215">
        <v>130.75</v>
      </c>
      <c r="CJ59" s="215">
        <v>134.69999999999999</v>
      </c>
      <c r="CK59" s="215">
        <v>176.75</v>
      </c>
      <c r="CL59" s="215">
        <v>185.15</v>
      </c>
      <c r="CM59" s="215">
        <v>180.47</v>
      </c>
      <c r="CN59" s="214" t="s">
        <v>996</v>
      </c>
      <c r="CO59" s="214" t="s">
        <v>996</v>
      </c>
      <c r="CP59" s="214" t="s">
        <v>996</v>
      </c>
      <c r="CQ59" s="214" t="s">
        <v>996</v>
      </c>
      <c r="CR59" s="214" t="s">
        <v>996</v>
      </c>
      <c r="CS59" s="214" t="s">
        <v>996</v>
      </c>
      <c r="CT59" s="214" t="s">
        <v>996</v>
      </c>
      <c r="CU59" s="214" t="s">
        <v>996</v>
      </c>
      <c r="CV59" s="214" t="s">
        <v>996</v>
      </c>
      <c r="CW59" s="214" t="s">
        <v>996</v>
      </c>
      <c r="CX59" s="214" t="s">
        <v>996</v>
      </c>
      <c r="CY59" s="214" t="s">
        <v>996</v>
      </c>
      <c r="CZ59" s="214" t="s">
        <v>996</v>
      </c>
      <c r="DA59" s="214" t="s">
        <v>996</v>
      </c>
      <c r="DB59" s="214" t="s">
        <v>996</v>
      </c>
      <c r="DC59" s="214" t="s">
        <v>996</v>
      </c>
      <c r="DD59" s="214" t="s">
        <v>996</v>
      </c>
      <c r="DE59" s="214" t="s">
        <v>996</v>
      </c>
      <c r="DF59" s="214" t="s">
        <v>996</v>
      </c>
      <c r="DG59" s="214" t="s">
        <v>996</v>
      </c>
      <c r="DH59" s="214" t="s">
        <v>996</v>
      </c>
      <c r="DI59" s="214" t="s">
        <v>996</v>
      </c>
      <c r="DJ59" s="214" t="s">
        <v>996</v>
      </c>
      <c r="DK59" s="214" t="s">
        <v>996</v>
      </c>
      <c r="DL59" s="214" t="s">
        <v>996</v>
      </c>
      <c r="DM59" s="214" t="s">
        <v>996</v>
      </c>
      <c r="DN59" s="214" t="s">
        <v>996</v>
      </c>
      <c r="DO59" s="214" t="s">
        <v>996</v>
      </c>
      <c r="DP59" s="214" t="s">
        <v>996</v>
      </c>
      <c r="DQ59" s="214" t="s">
        <v>996</v>
      </c>
      <c r="DR59" s="214" t="s">
        <v>996</v>
      </c>
      <c r="DS59" s="214" t="s">
        <v>996</v>
      </c>
      <c r="DT59" s="214" t="s">
        <v>996</v>
      </c>
      <c r="DU59" s="214" t="s">
        <v>996</v>
      </c>
      <c r="DV59" s="214" t="s">
        <v>996</v>
      </c>
      <c r="DW59" s="214" t="s">
        <v>996</v>
      </c>
      <c r="DX59" s="214" t="s">
        <v>996</v>
      </c>
      <c r="DY59" s="214" t="s">
        <v>996</v>
      </c>
      <c r="DZ59" s="214" t="s">
        <v>996</v>
      </c>
      <c r="EA59" s="214" t="s">
        <v>996</v>
      </c>
      <c r="EB59" s="214" t="s">
        <v>996</v>
      </c>
      <c r="EC59" s="214" t="s">
        <v>996</v>
      </c>
      <c r="ED59" s="214" t="s">
        <v>996</v>
      </c>
      <c r="EE59" s="214" t="s">
        <v>996</v>
      </c>
      <c r="EF59" s="214" t="s">
        <v>996</v>
      </c>
      <c r="EG59" s="214" t="s">
        <v>996</v>
      </c>
    </row>
    <row r="60" spans="1:137" x14ac:dyDescent="0.3">
      <c r="A60" s="210" t="s">
        <v>190</v>
      </c>
      <c r="B60" s="214" t="s">
        <v>985</v>
      </c>
      <c r="C60" s="214" t="s">
        <v>996</v>
      </c>
      <c r="D60" s="214" t="s">
        <v>996</v>
      </c>
      <c r="E60" s="214" t="s">
        <v>996</v>
      </c>
      <c r="F60" s="214" t="s">
        <v>996</v>
      </c>
      <c r="G60" s="214" t="s">
        <v>996</v>
      </c>
      <c r="H60" s="214" t="s">
        <v>996</v>
      </c>
      <c r="I60" s="214" t="s">
        <v>996</v>
      </c>
      <c r="J60" s="214" t="s">
        <v>996</v>
      </c>
      <c r="K60" s="214" t="s">
        <v>996</v>
      </c>
      <c r="L60" s="214" t="s">
        <v>996</v>
      </c>
      <c r="M60" s="215">
        <v>163.5</v>
      </c>
      <c r="N60" s="215">
        <v>158.22</v>
      </c>
      <c r="O60" s="215">
        <v>152.97</v>
      </c>
      <c r="P60" s="215">
        <v>157.08000000000001</v>
      </c>
      <c r="Q60" s="215">
        <v>61.76</v>
      </c>
      <c r="R60" s="215">
        <v>62.42</v>
      </c>
      <c r="S60" s="215">
        <v>160.91</v>
      </c>
      <c r="T60" s="215">
        <v>167.45</v>
      </c>
      <c r="U60" s="215">
        <v>167.9</v>
      </c>
      <c r="V60" s="215">
        <v>165.16</v>
      </c>
      <c r="W60" s="214" t="s">
        <v>996</v>
      </c>
      <c r="X60" s="214" t="s">
        <v>996</v>
      </c>
      <c r="Y60" s="214" t="s">
        <v>996</v>
      </c>
      <c r="Z60" s="214" t="s">
        <v>996</v>
      </c>
      <c r="AA60" s="214" t="s">
        <v>996</v>
      </c>
      <c r="AB60" s="214" t="s">
        <v>996</v>
      </c>
      <c r="AC60" s="214" t="s">
        <v>996</v>
      </c>
      <c r="AD60" s="214" t="s">
        <v>996</v>
      </c>
      <c r="AE60" s="214" t="s">
        <v>996</v>
      </c>
      <c r="AF60" s="214" t="s">
        <v>996</v>
      </c>
      <c r="AG60" s="214" t="s">
        <v>996</v>
      </c>
      <c r="AH60" s="214" t="s">
        <v>996</v>
      </c>
      <c r="AI60" s="214" t="s">
        <v>996</v>
      </c>
      <c r="AJ60" s="214" t="s">
        <v>996</v>
      </c>
      <c r="AK60" s="214" t="s">
        <v>996</v>
      </c>
      <c r="AL60" s="214" t="s">
        <v>996</v>
      </c>
      <c r="AM60" s="214" t="s">
        <v>996</v>
      </c>
      <c r="AN60" s="214" t="s">
        <v>996</v>
      </c>
      <c r="AO60" s="214" t="s">
        <v>996</v>
      </c>
      <c r="AP60" s="214" t="s">
        <v>996</v>
      </c>
      <c r="AQ60" s="214" t="s">
        <v>996</v>
      </c>
      <c r="AR60" s="214" t="s">
        <v>996</v>
      </c>
      <c r="AS60" s="214" t="s">
        <v>996</v>
      </c>
      <c r="AT60" s="214" t="s">
        <v>996</v>
      </c>
      <c r="AU60" s="214" t="s">
        <v>996</v>
      </c>
      <c r="AV60" s="214" t="s">
        <v>996</v>
      </c>
      <c r="AW60" s="214" t="s">
        <v>996</v>
      </c>
      <c r="AX60" s="214" t="s">
        <v>996</v>
      </c>
      <c r="AY60" s="214" t="s">
        <v>996</v>
      </c>
      <c r="AZ60" s="214" t="s">
        <v>996</v>
      </c>
      <c r="BA60" s="214" t="s">
        <v>996</v>
      </c>
      <c r="BB60" s="214" t="s">
        <v>996</v>
      </c>
      <c r="BC60" s="214" t="s">
        <v>996</v>
      </c>
      <c r="BD60" s="214" t="s">
        <v>996</v>
      </c>
      <c r="BE60" s="214" t="s">
        <v>996</v>
      </c>
      <c r="BF60" s="215">
        <v>49.2</v>
      </c>
      <c r="BG60" s="215">
        <v>50.24</v>
      </c>
      <c r="BH60" s="215">
        <v>50.33</v>
      </c>
      <c r="BI60" s="215">
        <v>70.62</v>
      </c>
      <c r="BJ60" s="215">
        <v>71.77</v>
      </c>
      <c r="BK60" s="215">
        <v>74.260000000000005</v>
      </c>
      <c r="BL60" s="215">
        <v>74.239999999999995</v>
      </c>
      <c r="BM60" s="214" t="s">
        <v>996</v>
      </c>
      <c r="BN60" s="214" t="s">
        <v>996</v>
      </c>
      <c r="BO60" s="214" t="s">
        <v>996</v>
      </c>
      <c r="BP60" s="214" t="s">
        <v>996</v>
      </c>
      <c r="BQ60" s="214" t="s">
        <v>996</v>
      </c>
      <c r="BR60" s="214" t="s">
        <v>996</v>
      </c>
      <c r="BS60" s="214" t="s">
        <v>996</v>
      </c>
      <c r="BT60" s="214" t="s">
        <v>996</v>
      </c>
      <c r="BU60" s="214" t="s">
        <v>996</v>
      </c>
      <c r="BV60" s="214" t="s">
        <v>996</v>
      </c>
      <c r="BW60" s="214" t="s">
        <v>996</v>
      </c>
      <c r="BX60" s="214" t="s">
        <v>996</v>
      </c>
      <c r="BY60" s="214" t="s">
        <v>996</v>
      </c>
      <c r="BZ60" s="214" t="s">
        <v>996</v>
      </c>
      <c r="CA60" s="214" t="s">
        <v>996</v>
      </c>
      <c r="CB60" s="214" t="s">
        <v>996</v>
      </c>
      <c r="CC60" s="214" t="s">
        <v>996</v>
      </c>
      <c r="CD60" s="214" t="s">
        <v>996</v>
      </c>
      <c r="CE60" s="214" t="s">
        <v>996</v>
      </c>
      <c r="CF60" s="214" t="s">
        <v>996</v>
      </c>
      <c r="CG60" s="215">
        <v>125.79</v>
      </c>
      <c r="CH60" s="215">
        <v>128.74</v>
      </c>
      <c r="CI60" s="215">
        <v>132.28</v>
      </c>
      <c r="CJ60" s="215">
        <v>167.79</v>
      </c>
      <c r="CK60" s="215">
        <v>185.2</v>
      </c>
      <c r="CL60" s="215">
        <v>188.51</v>
      </c>
      <c r="CM60" s="215">
        <v>182.57</v>
      </c>
      <c r="CN60" s="214" t="s">
        <v>996</v>
      </c>
      <c r="CO60" s="214" t="s">
        <v>996</v>
      </c>
      <c r="CP60" s="214" t="s">
        <v>996</v>
      </c>
      <c r="CQ60" s="214" t="s">
        <v>996</v>
      </c>
      <c r="CR60" s="214" t="s">
        <v>996</v>
      </c>
      <c r="CS60" s="214" t="s">
        <v>996</v>
      </c>
      <c r="CT60" s="214" t="s">
        <v>996</v>
      </c>
      <c r="CU60" s="214" t="s">
        <v>996</v>
      </c>
      <c r="CV60" s="214" t="s">
        <v>996</v>
      </c>
      <c r="CW60" s="214" t="s">
        <v>996</v>
      </c>
      <c r="CX60" s="214" t="s">
        <v>996</v>
      </c>
      <c r="CY60" s="214" t="s">
        <v>996</v>
      </c>
      <c r="CZ60" s="214" t="s">
        <v>996</v>
      </c>
      <c r="DA60" s="214" t="s">
        <v>996</v>
      </c>
      <c r="DB60" s="214" t="s">
        <v>996</v>
      </c>
      <c r="DC60" s="214" t="s">
        <v>996</v>
      </c>
      <c r="DD60" s="214" t="s">
        <v>996</v>
      </c>
      <c r="DE60" s="214" t="s">
        <v>996</v>
      </c>
      <c r="DF60" s="214" t="s">
        <v>996</v>
      </c>
      <c r="DG60" s="214" t="s">
        <v>996</v>
      </c>
      <c r="DH60" s="214" t="s">
        <v>996</v>
      </c>
      <c r="DI60" s="214" t="s">
        <v>996</v>
      </c>
      <c r="DJ60" s="214" t="s">
        <v>996</v>
      </c>
      <c r="DK60" s="214" t="s">
        <v>996</v>
      </c>
      <c r="DL60" s="214" t="s">
        <v>996</v>
      </c>
      <c r="DM60" s="214" t="s">
        <v>996</v>
      </c>
      <c r="DN60" s="214" t="s">
        <v>996</v>
      </c>
      <c r="DO60" s="214" t="s">
        <v>996</v>
      </c>
      <c r="DP60" s="214" t="s">
        <v>996</v>
      </c>
      <c r="DQ60" s="214" t="s">
        <v>996</v>
      </c>
      <c r="DR60" s="214" t="s">
        <v>996</v>
      </c>
      <c r="DS60" s="214" t="s">
        <v>996</v>
      </c>
      <c r="DT60" s="214" t="s">
        <v>996</v>
      </c>
      <c r="DU60" s="214" t="s">
        <v>996</v>
      </c>
      <c r="DV60" s="214" t="s">
        <v>996</v>
      </c>
      <c r="DW60" s="214" t="s">
        <v>996</v>
      </c>
      <c r="DX60" s="214" t="s">
        <v>996</v>
      </c>
      <c r="DY60" s="214" t="s">
        <v>996</v>
      </c>
      <c r="DZ60" s="214" t="s">
        <v>996</v>
      </c>
      <c r="EA60" s="214" t="s">
        <v>996</v>
      </c>
      <c r="EB60" s="214" t="s">
        <v>996</v>
      </c>
      <c r="EC60" s="214" t="s">
        <v>996</v>
      </c>
      <c r="ED60" s="214" t="s">
        <v>996</v>
      </c>
      <c r="EE60" s="214" t="s">
        <v>996</v>
      </c>
      <c r="EF60" s="214" t="s">
        <v>996</v>
      </c>
      <c r="EG60" s="214" t="s">
        <v>996</v>
      </c>
    </row>
    <row r="61" spans="1:137" x14ac:dyDescent="0.3">
      <c r="A61" s="210" t="s">
        <v>986</v>
      </c>
      <c r="B61" s="214" t="s">
        <v>987</v>
      </c>
      <c r="C61" s="214" t="s">
        <v>996</v>
      </c>
      <c r="D61" s="214" t="s">
        <v>996</v>
      </c>
      <c r="E61" s="214" t="s">
        <v>996</v>
      </c>
      <c r="F61" s="214" t="s">
        <v>996</v>
      </c>
      <c r="G61" s="214" t="s">
        <v>996</v>
      </c>
      <c r="H61" s="214" t="s">
        <v>996</v>
      </c>
      <c r="I61" s="214" t="s">
        <v>996</v>
      </c>
      <c r="J61" s="214" t="s">
        <v>996</v>
      </c>
      <c r="K61" s="214" t="s">
        <v>996</v>
      </c>
      <c r="L61" s="214" t="s">
        <v>996</v>
      </c>
      <c r="M61" s="215">
        <v>156.91999999999999</v>
      </c>
      <c r="N61" s="215">
        <v>149.54</v>
      </c>
      <c r="O61" s="215">
        <v>145.30000000000001</v>
      </c>
      <c r="P61" s="215">
        <v>58.37</v>
      </c>
      <c r="Q61" s="215">
        <v>58.75</v>
      </c>
      <c r="R61" s="215">
        <v>60.37</v>
      </c>
      <c r="S61" s="215">
        <v>62.03</v>
      </c>
      <c r="T61" s="215">
        <v>160.54</v>
      </c>
      <c r="U61" s="215">
        <v>164.49</v>
      </c>
      <c r="V61" s="215">
        <v>163.97</v>
      </c>
      <c r="W61" s="214" t="s">
        <v>996</v>
      </c>
      <c r="X61" s="214" t="s">
        <v>996</v>
      </c>
      <c r="Y61" s="214" t="s">
        <v>996</v>
      </c>
      <c r="Z61" s="214" t="s">
        <v>996</v>
      </c>
      <c r="AA61" s="214" t="s">
        <v>996</v>
      </c>
      <c r="AB61" s="214" t="s">
        <v>996</v>
      </c>
      <c r="AC61" s="214" t="s">
        <v>996</v>
      </c>
      <c r="AD61" s="214" t="s">
        <v>996</v>
      </c>
      <c r="AE61" s="214" t="s">
        <v>996</v>
      </c>
      <c r="AF61" s="214" t="s">
        <v>996</v>
      </c>
      <c r="AG61" s="214" t="s">
        <v>996</v>
      </c>
      <c r="AH61" s="214" t="s">
        <v>996</v>
      </c>
      <c r="AI61" s="214" t="s">
        <v>996</v>
      </c>
      <c r="AJ61" s="214" t="s">
        <v>996</v>
      </c>
      <c r="AK61" s="214" t="s">
        <v>996</v>
      </c>
      <c r="AL61" s="214" t="s">
        <v>996</v>
      </c>
      <c r="AM61" s="214" t="s">
        <v>996</v>
      </c>
      <c r="AN61" s="214" t="s">
        <v>996</v>
      </c>
      <c r="AO61" s="214" t="s">
        <v>996</v>
      </c>
      <c r="AP61" s="214" t="s">
        <v>996</v>
      </c>
      <c r="AQ61" s="214" t="s">
        <v>996</v>
      </c>
      <c r="AR61" s="214" t="s">
        <v>996</v>
      </c>
      <c r="AS61" s="214" t="s">
        <v>996</v>
      </c>
      <c r="AT61" s="214" t="s">
        <v>996</v>
      </c>
      <c r="AU61" s="214" t="s">
        <v>996</v>
      </c>
      <c r="AV61" s="214" t="s">
        <v>996</v>
      </c>
      <c r="AW61" s="214" t="s">
        <v>996</v>
      </c>
      <c r="AX61" s="214" t="s">
        <v>996</v>
      </c>
      <c r="AY61" s="214" t="s">
        <v>996</v>
      </c>
      <c r="AZ61" s="214" t="s">
        <v>996</v>
      </c>
      <c r="BA61" s="214" t="s">
        <v>996</v>
      </c>
      <c r="BB61" s="214" t="s">
        <v>996</v>
      </c>
      <c r="BC61" s="214" t="s">
        <v>996</v>
      </c>
      <c r="BD61" s="214" t="s">
        <v>996</v>
      </c>
      <c r="BE61" s="214" t="s">
        <v>996</v>
      </c>
      <c r="BF61" s="215">
        <v>47.23</v>
      </c>
      <c r="BG61" s="215">
        <v>48.8</v>
      </c>
      <c r="BH61" s="215">
        <v>48.99</v>
      </c>
      <c r="BI61" s="215">
        <v>69.05</v>
      </c>
      <c r="BJ61" s="215">
        <v>70.069999999999993</v>
      </c>
      <c r="BK61" s="215">
        <v>70.599999999999994</v>
      </c>
      <c r="BL61" s="215">
        <v>70.349999999999994</v>
      </c>
      <c r="BM61" s="214" t="s">
        <v>996</v>
      </c>
      <c r="BN61" s="214" t="s">
        <v>996</v>
      </c>
      <c r="BO61" s="214" t="s">
        <v>996</v>
      </c>
      <c r="BP61" s="214" t="s">
        <v>996</v>
      </c>
      <c r="BQ61" s="214" t="s">
        <v>996</v>
      </c>
      <c r="BR61" s="214" t="s">
        <v>996</v>
      </c>
      <c r="BS61" s="214" t="s">
        <v>996</v>
      </c>
      <c r="BT61" s="214" t="s">
        <v>996</v>
      </c>
      <c r="BU61" s="214" t="s">
        <v>996</v>
      </c>
      <c r="BV61" s="214" t="s">
        <v>996</v>
      </c>
      <c r="BW61" s="214" t="s">
        <v>996</v>
      </c>
      <c r="BX61" s="214" t="s">
        <v>996</v>
      </c>
      <c r="BY61" s="214" t="s">
        <v>996</v>
      </c>
      <c r="BZ61" s="214" t="s">
        <v>996</v>
      </c>
      <c r="CA61" s="214" t="s">
        <v>996</v>
      </c>
      <c r="CB61" s="214" t="s">
        <v>996</v>
      </c>
      <c r="CC61" s="214" t="s">
        <v>996</v>
      </c>
      <c r="CD61" s="214" t="s">
        <v>996</v>
      </c>
      <c r="CE61" s="214" t="s">
        <v>996</v>
      </c>
      <c r="CF61" s="214" t="s">
        <v>996</v>
      </c>
      <c r="CG61" s="215">
        <v>121.33</v>
      </c>
      <c r="CH61" s="215">
        <v>121.2</v>
      </c>
      <c r="CI61" s="215">
        <v>128.36000000000001</v>
      </c>
      <c r="CJ61" s="215">
        <v>129.55000000000001</v>
      </c>
      <c r="CK61" s="215">
        <v>168.48</v>
      </c>
      <c r="CL61" s="215">
        <v>180.28</v>
      </c>
      <c r="CM61" s="215">
        <v>179.05</v>
      </c>
      <c r="CN61" s="214" t="s">
        <v>996</v>
      </c>
      <c r="CO61" s="214" t="s">
        <v>996</v>
      </c>
      <c r="CP61" s="214" t="s">
        <v>996</v>
      </c>
      <c r="CQ61" s="214" t="s">
        <v>996</v>
      </c>
      <c r="CR61" s="214" t="s">
        <v>996</v>
      </c>
      <c r="CS61" s="214" t="s">
        <v>996</v>
      </c>
      <c r="CT61" s="214" t="s">
        <v>996</v>
      </c>
      <c r="CU61" s="214" t="s">
        <v>996</v>
      </c>
      <c r="CV61" s="214" t="s">
        <v>996</v>
      </c>
      <c r="CW61" s="214" t="s">
        <v>996</v>
      </c>
      <c r="CX61" s="214" t="s">
        <v>996</v>
      </c>
      <c r="CY61" s="214" t="s">
        <v>996</v>
      </c>
      <c r="CZ61" s="214" t="s">
        <v>996</v>
      </c>
      <c r="DA61" s="214" t="s">
        <v>996</v>
      </c>
      <c r="DB61" s="214" t="s">
        <v>996</v>
      </c>
      <c r="DC61" s="214" t="s">
        <v>996</v>
      </c>
      <c r="DD61" s="214" t="s">
        <v>996</v>
      </c>
      <c r="DE61" s="214" t="s">
        <v>996</v>
      </c>
      <c r="DF61" s="214" t="s">
        <v>996</v>
      </c>
      <c r="DG61" s="214" t="s">
        <v>996</v>
      </c>
      <c r="DH61" s="214" t="s">
        <v>996</v>
      </c>
      <c r="DI61" s="214" t="s">
        <v>996</v>
      </c>
      <c r="DJ61" s="214" t="s">
        <v>996</v>
      </c>
      <c r="DK61" s="214" t="s">
        <v>996</v>
      </c>
      <c r="DL61" s="214" t="s">
        <v>996</v>
      </c>
      <c r="DM61" s="214" t="s">
        <v>996</v>
      </c>
      <c r="DN61" s="214" t="s">
        <v>996</v>
      </c>
      <c r="DO61" s="214" t="s">
        <v>996</v>
      </c>
      <c r="DP61" s="214" t="s">
        <v>996</v>
      </c>
      <c r="DQ61" s="214" t="s">
        <v>996</v>
      </c>
      <c r="DR61" s="214" t="s">
        <v>996</v>
      </c>
      <c r="DS61" s="214" t="s">
        <v>996</v>
      </c>
      <c r="DT61" s="214" t="s">
        <v>996</v>
      </c>
      <c r="DU61" s="214" t="s">
        <v>996</v>
      </c>
      <c r="DV61" s="214" t="s">
        <v>996</v>
      </c>
      <c r="DW61" s="214" t="s">
        <v>996</v>
      </c>
      <c r="DX61" s="214" t="s">
        <v>996</v>
      </c>
      <c r="DY61" s="214" t="s">
        <v>996</v>
      </c>
      <c r="DZ61" s="214" t="s">
        <v>996</v>
      </c>
      <c r="EA61" s="214" t="s">
        <v>996</v>
      </c>
      <c r="EB61" s="214" t="s">
        <v>996</v>
      </c>
      <c r="EC61" s="214" t="s">
        <v>996</v>
      </c>
      <c r="ED61" s="214" t="s">
        <v>996</v>
      </c>
      <c r="EE61" s="214" t="s">
        <v>996</v>
      </c>
      <c r="EF61" s="214" t="s">
        <v>996</v>
      </c>
      <c r="EG61" s="214" t="s">
        <v>996</v>
      </c>
    </row>
    <row r="62" spans="1:137" x14ac:dyDescent="0.3">
      <c r="A62" s="210" t="s">
        <v>988</v>
      </c>
      <c r="B62" s="214" t="s">
        <v>989</v>
      </c>
      <c r="C62" s="214" t="s">
        <v>996</v>
      </c>
      <c r="D62" s="214" t="s">
        <v>996</v>
      </c>
      <c r="E62" s="214" t="s">
        <v>996</v>
      </c>
      <c r="F62" s="214" t="s">
        <v>996</v>
      </c>
      <c r="G62" s="214" t="s">
        <v>996</v>
      </c>
      <c r="H62" s="214" t="s">
        <v>996</v>
      </c>
      <c r="I62" s="214" t="s">
        <v>996</v>
      </c>
      <c r="J62" s="214" t="s">
        <v>996</v>
      </c>
      <c r="K62" s="214" t="s">
        <v>996</v>
      </c>
      <c r="L62" s="214" t="s">
        <v>996</v>
      </c>
      <c r="M62" s="215">
        <v>157.4</v>
      </c>
      <c r="N62" s="215">
        <v>152.24</v>
      </c>
      <c r="O62" s="215">
        <v>152.97</v>
      </c>
      <c r="P62" s="215">
        <v>58.73</v>
      </c>
      <c r="Q62" s="215">
        <v>61.72</v>
      </c>
      <c r="R62" s="215">
        <v>61.46</v>
      </c>
      <c r="S62" s="215">
        <v>160.91</v>
      </c>
      <c r="T62" s="215">
        <v>167.45</v>
      </c>
      <c r="U62" s="215">
        <v>165.42</v>
      </c>
      <c r="V62" s="214" t="s">
        <v>996</v>
      </c>
      <c r="W62" s="214" t="s">
        <v>996</v>
      </c>
      <c r="X62" s="214" t="s">
        <v>996</v>
      </c>
      <c r="Y62" s="214" t="s">
        <v>996</v>
      </c>
      <c r="Z62" s="214" t="s">
        <v>996</v>
      </c>
      <c r="AA62" s="214" t="s">
        <v>996</v>
      </c>
      <c r="AB62" s="214" t="s">
        <v>996</v>
      </c>
      <c r="AC62" s="214" t="s">
        <v>996</v>
      </c>
      <c r="AD62" s="214" t="s">
        <v>996</v>
      </c>
      <c r="AE62" s="214" t="s">
        <v>996</v>
      </c>
      <c r="AF62" s="214" t="s">
        <v>996</v>
      </c>
      <c r="AG62" s="214" t="s">
        <v>996</v>
      </c>
      <c r="AH62" s="214" t="s">
        <v>996</v>
      </c>
      <c r="AI62" s="214" t="s">
        <v>996</v>
      </c>
      <c r="AJ62" s="214" t="s">
        <v>996</v>
      </c>
      <c r="AK62" s="214" t="s">
        <v>996</v>
      </c>
      <c r="AL62" s="214" t="s">
        <v>996</v>
      </c>
      <c r="AM62" s="214" t="s">
        <v>996</v>
      </c>
      <c r="AN62" s="214" t="s">
        <v>996</v>
      </c>
      <c r="AO62" s="214" t="s">
        <v>996</v>
      </c>
      <c r="AP62" s="214" t="s">
        <v>996</v>
      </c>
      <c r="AQ62" s="214" t="s">
        <v>996</v>
      </c>
      <c r="AR62" s="214" t="s">
        <v>996</v>
      </c>
      <c r="AS62" s="214" t="s">
        <v>996</v>
      </c>
      <c r="AT62" s="214" t="s">
        <v>996</v>
      </c>
      <c r="AU62" s="214" t="s">
        <v>996</v>
      </c>
      <c r="AV62" s="214" t="s">
        <v>996</v>
      </c>
      <c r="AW62" s="214" t="s">
        <v>996</v>
      </c>
      <c r="AX62" s="214" t="s">
        <v>996</v>
      </c>
      <c r="AY62" s="214" t="s">
        <v>996</v>
      </c>
      <c r="AZ62" s="214" t="s">
        <v>996</v>
      </c>
      <c r="BA62" s="214" t="s">
        <v>996</v>
      </c>
      <c r="BB62" s="214" t="s">
        <v>996</v>
      </c>
      <c r="BC62" s="214" t="s">
        <v>996</v>
      </c>
      <c r="BD62" s="214" t="s">
        <v>996</v>
      </c>
      <c r="BE62" s="214" t="s">
        <v>996</v>
      </c>
      <c r="BF62" s="215">
        <v>49.08</v>
      </c>
      <c r="BG62" s="215">
        <v>50.24</v>
      </c>
      <c r="BH62" s="215">
        <v>49.64</v>
      </c>
      <c r="BI62" s="215">
        <v>70.459999999999994</v>
      </c>
      <c r="BJ62" s="215">
        <v>71.62</v>
      </c>
      <c r="BK62" s="215">
        <v>74.13</v>
      </c>
      <c r="BL62" s="214" t="s">
        <v>996</v>
      </c>
      <c r="BM62" s="214" t="s">
        <v>996</v>
      </c>
      <c r="BN62" s="214" t="s">
        <v>996</v>
      </c>
      <c r="BO62" s="214" t="s">
        <v>996</v>
      </c>
      <c r="BP62" s="214" t="s">
        <v>996</v>
      </c>
      <c r="BQ62" s="214" t="s">
        <v>996</v>
      </c>
      <c r="BR62" s="214" t="s">
        <v>996</v>
      </c>
      <c r="BS62" s="214" t="s">
        <v>996</v>
      </c>
      <c r="BT62" s="214" t="s">
        <v>996</v>
      </c>
      <c r="BU62" s="214" t="s">
        <v>996</v>
      </c>
      <c r="BV62" s="214" t="s">
        <v>996</v>
      </c>
      <c r="BW62" s="214" t="s">
        <v>996</v>
      </c>
      <c r="BX62" s="214" t="s">
        <v>996</v>
      </c>
      <c r="BY62" s="214" t="s">
        <v>996</v>
      </c>
      <c r="BZ62" s="214" t="s">
        <v>996</v>
      </c>
      <c r="CA62" s="214" t="s">
        <v>996</v>
      </c>
      <c r="CB62" s="214" t="s">
        <v>996</v>
      </c>
      <c r="CC62" s="214" t="s">
        <v>996</v>
      </c>
      <c r="CD62" s="214" t="s">
        <v>996</v>
      </c>
      <c r="CE62" s="214" t="s">
        <v>996</v>
      </c>
      <c r="CF62" s="214" t="s">
        <v>996</v>
      </c>
      <c r="CG62" s="215">
        <v>121.33</v>
      </c>
      <c r="CH62" s="215">
        <v>128.74</v>
      </c>
      <c r="CI62" s="215">
        <v>132.25</v>
      </c>
      <c r="CJ62" s="215">
        <v>167.79</v>
      </c>
      <c r="CK62" s="215">
        <v>185.2</v>
      </c>
      <c r="CL62" s="215">
        <v>180.28</v>
      </c>
      <c r="CM62" s="214" t="s">
        <v>996</v>
      </c>
      <c r="CN62" s="214" t="s">
        <v>996</v>
      </c>
      <c r="CO62" s="214" t="s">
        <v>996</v>
      </c>
      <c r="CP62" s="214" t="s">
        <v>996</v>
      </c>
      <c r="CQ62" s="214" t="s">
        <v>996</v>
      </c>
      <c r="CR62" s="214" t="s">
        <v>996</v>
      </c>
      <c r="CS62" s="214" t="s">
        <v>996</v>
      </c>
      <c r="CT62" s="214" t="s">
        <v>996</v>
      </c>
      <c r="CU62" s="214" t="s">
        <v>996</v>
      </c>
      <c r="CV62" s="214" t="s">
        <v>996</v>
      </c>
      <c r="CW62" s="214" t="s">
        <v>996</v>
      </c>
      <c r="CX62" s="214" t="s">
        <v>996</v>
      </c>
      <c r="CY62" s="214" t="s">
        <v>996</v>
      </c>
      <c r="CZ62" s="214" t="s">
        <v>996</v>
      </c>
      <c r="DA62" s="214" t="s">
        <v>996</v>
      </c>
      <c r="DB62" s="214" t="s">
        <v>996</v>
      </c>
      <c r="DC62" s="214" t="s">
        <v>996</v>
      </c>
      <c r="DD62" s="214" t="s">
        <v>996</v>
      </c>
      <c r="DE62" s="214" t="s">
        <v>996</v>
      </c>
      <c r="DF62" s="214" t="s">
        <v>996</v>
      </c>
      <c r="DG62" s="214" t="s">
        <v>996</v>
      </c>
      <c r="DH62" s="214" t="s">
        <v>996</v>
      </c>
      <c r="DI62" s="214" t="s">
        <v>996</v>
      </c>
      <c r="DJ62" s="214" t="s">
        <v>996</v>
      </c>
      <c r="DK62" s="214" t="s">
        <v>996</v>
      </c>
      <c r="DL62" s="214" t="s">
        <v>996</v>
      </c>
      <c r="DM62" s="214" t="s">
        <v>996</v>
      </c>
      <c r="DN62" s="214" t="s">
        <v>996</v>
      </c>
      <c r="DO62" s="214" t="s">
        <v>996</v>
      </c>
      <c r="DP62" s="214" t="s">
        <v>996</v>
      </c>
      <c r="DQ62" s="214" t="s">
        <v>996</v>
      </c>
      <c r="DR62" s="214" t="s">
        <v>996</v>
      </c>
      <c r="DS62" s="214" t="s">
        <v>996</v>
      </c>
      <c r="DT62" s="214" t="s">
        <v>996</v>
      </c>
      <c r="DU62" s="214" t="s">
        <v>996</v>
      </c>
      <c r="DV62" s="214" t="s">
        <v>996</v>
      </c>
      <c r="DW62" s="214" t="s">
        <v>996</v>
      </c>
      <c r="DX62" s="214" t="s">
        <v>996</v>
      </c>
      <c r="DY62" s="214" t="s">
        <v>996</v>
      </c>
      <c r="DZ62" s="214" t="s">
        <v>996</v>
      </c>
      <c r="EA62" s="214" t="s">
        <v>996</v>
      </c>
      <c r="EB62" s="214" t="s">
        <v>996</v>
      </c>
      <c r="EC62" s="214" t="s">
        <v>996</v>
      </c>
      <c r="ED62" s="214" t="s">
        <v>996</v>
      </c>
      <c r="EE62" s="214" t="s">
        <v>996</v>
      </c>
      <c r="EF62" s="214" t="s">
        <v>996</v>
      </c>
      <c r="EG62" s="214" t="s">
        <v>996</v>
      </c>
    </row>
    <row r="63" spans="1:137" x14ac:dyDescent="0.3">
      <c r="A63" s="210" t="s">
        <v>1003</v>
      </c>
      <c r="B63" s="214" t="s">
        <v>205</v>
      </c>
      <c r="C63" s="214" t="s">
        <v>996</v>
      </c>
      <c r="D63" s="214" t="s">
        <v>996</v>
      </c>
      <c r="E63" s="214" t="s">
        <v>996</v>
      </c>
      <c r="F63" s="214" t="s">
        <v>996</v>
      </c>
      <c r="G63" s="214" t="s">
        <v>996</v>
      </c>
      <c r="H63" s="214" t="s">
        <v>996</v>
      </c>
      <c r="I63" s="214" t="s">
        <v>996</v>
      </c>
      <c r="J63" s="214" t="s">
        <v>996</v>
      </c>
      <c r="K63" s="214" t="s">
        <v>996</v>
      </c>
      <c r="L63" s="214" t="s">
        <v>996</v>
      </c>
      <c r="M63" s="214" t="s">
        <v>996</v>
      </c>
      <c r="N63" s="214" t="s">
        <v>996</v>
      </c>
      <c r="O63" s="214" t="s">
        <v>996</v>
      </c>
      <c r="P63" s="215">
        <v>77.05</v>
      </c>
      <c r="Q63" s="215">
        <v>81.06</v>
      </c>
      <c r="R63" s="215">
        <v>83.24</v>
      </c>
      <c r="S63" s="215">
        <v>84.52</v>
      </c>
      <c r="T63" s="214" t="s">
        <v>996</v>
      </c>
      <c r="U63" s="214" t="s">
        <v>996</v>
      </c>
      <c r="V63" s="214" t="s">
        <v>996</v>
      </c>
      <c r="W63" s="214" t="s">
        <v>996</v>
      </c>
      <c r="X63" s="214" t="s">
        <v>996</v>
      </c>
      <c r="Y63" s="214" t="s">
        <v>996</v>
      </c>
      <c r="Z63" s="214" t="s">
        <v>996</v>
      </c>
      <c r="AA63" s="214" t="s">
        <v>996</v>
      </c>
      <c r="AB63" s="214" t="s">
        <v>996</v>
      </c>
      <c r="AC63" s="214" t="s">
        <v>996</v>
      </c>
      <c r="AD63" s="214" t="s">
        <v>996</v>
      </c>
      <c r="AE63" s="214" t="s">
        <v>996</v>
      </c>
      <c r="AF63" s="214" t="s">
        <v>996</v>
      </c>
      <c r="AG63" s="214" t="s">
        <v>996</v>
      </c>
      <c r="AH63" s="214" t="s">
        <v>996</v>
      </c>
      <c r="AI63" s="214" t="s">
        <v>996</v>
      </c>
      <c r="AJ63" s="214" t="s">
        <v>996</v>
      </c>
      <c r="AK63" s="214" t="s">
        <v>996</v>
      </c>
      <c r="AL63" s="214" t="s">
        <v>996</v>
      </c>
      <c r="AM63" s="214" t="s">
        <v>996</v>
      </c>
      <c r="AN63" s="214" t="s">
        <v>996</v>
      </c>
      <c r="AO63" s="214" t="s">
        <v>996</v>
      </c>
      <c r="AP63" s="214" t="s">
        <v>996</v>
      </c>
      <c r="AQ63" s="214" t="s">
        <v>996</v>
      </c>
      <c r="AR63" s="214" t="s">
        <v>996</v>
      </c>
      <c r="AS63" s="214" t="s">
        <v>996</v>
      </c>
      <c r="AT63" s="214" t="s">
        <v>996</v>
      </c>
      <c r="AU63" s="214" t="s">
        <v>996</v>
      </c>
      <c r="AV63" s="214" t="s">
        <v>996</v>
      </c>
      <c r="AW63" s="214" t="s">
        <v>996</v>
      </c>
      <c r="AX63" s="214" t="s">
        <v>996</v>
      </c>
      <c r="AY63" s="214" t="s">
        <v>996</v>
      </c>
      <c r="AZ63" s="214" t="s">
        <v>996</v>
      </c>
      <c r="BA63" s="214" t="s">
        <v>996</v>
      </c>
      <c r="BB63" s="214" t="s">
        <v>996</v>
      </c>
      <c r="BC63" s="214" t="s">
        <v>996</v>
      </c>
      <c r="BD63" s="214" t="s">
        <v>996</v>
      </c>
      <c r="BE63" s="214" t="s">
        <v>996</v>
      </c>
      <c r="BF63" s="215">
        <v>48.54</v>
      </c>
      <c r="BG63" s="215">
        <v>50.08</v>
      </c>
      <c r="BH63" s="215">
        <v>50.93</v>
      </c>
      <c r="BI63" s="215">
        <v>113.41</v>
      </c>
      <c r="BJ63" s="215">
        <v>116.21</v>
      </c>
      <c r="BK63" s="215">
        <v>120.34</v>
      </c>
      <c r="BL63" s="215">
        <v>122.86</v>
      </c>
      <c r="BM63" s="214" t="s">
        <v>996</v>
      </c>
      <c r="BN63" s="214" t="s">
        <v>996</v>
      </c>
      <c r="BO63" s="214" t="s">
        <v>996</v>
      </c>
      <c r="BP63" s="214" t="s">
        <v>996</v>
      </c>
      <c r="BQ63" s="214" t="s">
        <v>996</v>
      </c>
      <c r="BR63" s="214" t="s">
        <v>996</v>
      </c>
      <c r="BS63" s="214" t="s">
        <v>996</v>
      </c>
      <c r="BT63" s="214" t="s">
        <v>996</v>
      </c>
      <c r="BU63" s="214" t="s">
        <v>996</v>
      </c>
      <c r="BV63" s="214" t="s">
        <v>996</v>
      </c>
      <c r="BW63" s="214" t="s">
        <v>996</v>
      </c>
      <c r="BX63" s="214" t="s">
        <v>996</v>
      </c>
      <c r="BY63" s="214" t="s">
        <v>996</v>
      </c>
      <c r="BZ63" s="214" t="s">
        <v>996</v>
      </c>
      <c r="CA63" s="214" t="s">
        <v>996</v>
      </c>
      <c r="CB63" s="214" t="s">
        <v>996</v>
      </c>
      <c r="CC63" s="214" t="s">
        <v>996</v>
      </c>
      <c r="CD63" s="214" t="s">
        <v>996</v>
      </c>
      <c r="CE63" s="214" t="s">
        <v>996</v>
      </c>
      <c r="CF63" s="214" t="s">
        <v>996</v>
      </c>
      <c r="CG63" s="214" t="s">
        <v>996</v>
      </c>
      <c r="CH63" s="214" t="s">
        <v>996</v>
      </c>
      <c r="CI63" s="214" t="s">
        <v>996</v>
      </c>
      <c r="CJ63" s="214" t="s">
        <v>996</v>
      </c>
      <c r="CK63" s="214" t="s">
        <v>996</v>
      </c>
      <c r="CL63" s="214" t="s">
        <v>996</v>
      </c>
      <c r="CM63" s="214" t="s">
        <v>996</v>
      </c>
      <c r="CN63" s="214" t="s">
        <v>996</v>
      </c>
      <c r="CO63" s="214" t="s">
        <v>996</v>
      </c>
      <c r="CP63" s="214" t="s">
        <v>996</v>
      </c>
      <c r="CQ63" s="214" t="s">
        <v>996</v>
      </c>
      <c r="CR63" s="214" t="s">
        <v>996</v>
      </c>
      <c r="CS63" s="214" t="s">
        <v>996</v>
      </c>
      <c r="CT63" s="214" t="s">
        <v>996</v>
      </c>
      <c r="CU63" s="214" t="s">
        <v>996</v>
      </c>
      <c r="CV63" s="214" t="s">
        <v>996</v>
      </c>
      <c r="CW63" s="214" t="s">
        <v>996</v>
      </c>
      <c r="CX63" s="214" t="s">
        <v>996</v>
      </c>
      <c r="CY63" s="214" t="s">
        <v>996</v>
      </c>
      <c r="CZ63" s="214" t="s">
        <v>996</v>
      </c>
      <c r="DA63" s="214" t="s">
        <v>996</v>
      </c>
      <c r="DB63" s="214" t="s">
        <v>996</v>
      </c>
      <c r="DC63" s="214" t="s">
        <v>996</v>
      </c>
      <c r="DD63" s="214" t="s">
        <v>996</v>
      </c>
      <c r="DE63" s="214" t="s">
        <v>996</v>
      </c>
      <c r="DF63" s="214" t="s">
        <v>996</v>
      </c>
      <c r="DG63" s="214" t="s">
        <v>996</v>
      </c>
      <c r="DH63" s="214" t="s">
        <v>996</v>
      </c>
      <c r="DI63" s="214" t="s">
        <v>996</v>
      </c>
      <c r="DJ63" s="214" t="s">
        <v>996</v>
      </c>
      <c r="DK63" s="214" t="s">
        <v>996</v>
      </c>
      <c r="DL63" s="214" t="s">
        <v>996</v>
      </c>
      <c r="DM63" s="214" t="s">
        <v>996</v>
      </c>
      <c r="DN63" s="214" t="s">
        <v>996</v>
      </c>
      <c r="DO63" s="214" t="s">
        <v>996</v>
      </c>
      <c r="DP63" s="214" t="s">
        <v>996</v>
      </c>
      <c r="DQ63" s="214" t="s">
        <v>996</v>
      </c>
      <c r="DR63" s="214" t="s">
        <v>996</v>
      </c>
      <c r="DS63" s="214" t="s">
        <v>996</v>
      </c>
      <c r="DT63" s="214" t="s">
        <v>996</v>
      </c>
      <c r="DU63" s="214" t="s">
        <v>996</v>
      </c>
      <c r="DV63" s="214" t="s">
        <v>996</v>
      </c>
      <c r="DW63" s="214" t="s">
        <v>996</v>
      </c>
      <c r="DX63" s="214" t="s">
        <v>996</v>
      </c>
      <c r="DY63" s="214" t="s">
        <v>996</v>
      </c>
      <c r="DZ63" s="214" t="s">
        <v>996</v>
      </c>
      <c r="EA63" s="214" t="s">
        <v>996</v>
      </c>
      <c r="EB63" s="214" t="s">
        <v>996</v>
      </c>
      <c r="EC63" s="214" t="s">
        <v>996</v>
      </c>
      <c r="ED63" s="214" t="s">
        <v>996</v>
      </c>
      <c r="EE63" s="214" t="s">
        <v>996</v>
      </c>
      <c r="EF63" s="214" t="s">
        <v>996</v>
      </c>
      <c r="EG63" s="214" t="s">
        <v>996</v>
      </c>
    </row>
    <row r="64" spans="1:137" x14ac:dyDescent="0.3">
      <c r="A64" s="210" t="s">
        <v>190</v>
      </c>
      <c r="B64" s="214" t="s">
        <v>985</v>
      </c>
      <c r="C64" s="214" t="s">
        <v>996</v>
      </c>
      <c r="D64" s="214" t="s">
        <v>996</v>
      </c>
      <c r="E64" s="214" t="s">
        <v>996</v>
      </c>
      <c r="F64" s="214" t="s">
        <v>996</v>
      </c>
      <c r="G64" s="214" t="s">
        <v>996</v>
      </c>
      <c r="H64" s="214" t="s">
        <v>996</v>
      </c>
      <c r="I64" s="214" t="s">
        <v>996</v>
      </c>
      <c r="J64" s="214" t="s">
        <v>996</v>
      </c>
      <c r="K64" s="214" t="s">
        <v>996</v>
      </c>
      <c r="L64" s="214" t="s">
        <v>996</v>
      </c>
      <c r="M64" s="214" t="s">
        <v>996</v>
      </c>
      <c r="N64" s="214" t="s">
        <v>996</v>
      </c>
      <c r="O64" s="214" t="s">
        <v>996</v>
      </c>
      <c r="P64" s="215">
        <v>77.430000000000007</v>
      </c>
      <c r="Q64" s="215">
        <v>83.93</v>
      </c>
      <c r="R64" s="215">
        <v>85.35</v>
      </c>
      <c r="S64" s="215">
        <v>84.52</v>
      </c>
      <c r="T64" s="214" t="s">
        <v>996</v>
      </c>
      <c r="U64" s="214" t="s">
        <v>996</v>
      </c>
      <c r="V64" s="214" t="s">
        <v>996</v>
      </c>
      <c r="W64" s="214" t="s">
        <v>996</v>
      </c>
      <c r="X64" s="214" t="s">
        <v>996</v>
      </c>
      <c r="Y64" s="214" t="s">
        <v>996</v>
      </c>
      <c r="Z64" s="214" t="s">
        <v>996</v>
      </c>
      <c r="AA64" s="214" t="s">
        <v>996</v>
      </c>
      <c r="AB64" s="214" t="s">
        <v>996</v>
      </c>
      <c r="AC64" s="214" t="s">
        <v>996</v>
      </c>
      <c r="AD64" s="214" t="s">
        <v>996</v>
      </c>
      <c r="AE64" s="214" t="s">
        <v>996</v>
      </c>
      <c r="AF64" s="214" t="s">
        <v>996</v>
      </c>
      <c r="AG64" s="214" t="s">
        <v>996</v>
      </c>
      <c r="AH64" s="214" t="s">
        <v>996</v>
      </c>
      <c r="AI64" s="214" t="s">
        <v>996</v>
      </c>
      <c r="AJ64" s="214" t="s">
        <v>996</v>
      </c>
      <c r="AK64" s="214" t="s">
        <v>996</v>
      </c>
      <c r="AL64" s="214" t="s">
        <v>996</v>
      </c>
      <c r="AM64" s="214" t="s">
        <v>996</v>
      </c>
      <c r="AN64" s="214" t="s">
        <v>996</v>
      </c>
      <c r="AO64" s="214" t="s">
        <v>996</v>
      </c>
      <c r="AP64" s="214" t="s">
        <v>996</v>
      </c>
      <c r="AQ64" s="214" t="s">
        <v>996</v>
      </c>
      <c r="AR64" s="214" t="s">
        <v>996</v>
      </c>
      <c r="AS64" s="214" t="s">
        <v>996</v>
      </c>
      <c r="AT64" s="214" t="s">
        <v>996</v>
      </c>
      <c r="AU64" s="214" t="s">
        <v>996</v>
      </c>
      <c r="AV64" s="214" t="s">
        <v>996</v>
      </c>
      <c r="AW64" s="214" t="s">
        <v>996</v>
      </c>
      <c r="AX64" s="214" t="s">
        <v>996</v>
      </c>
      <c r="AY64" s="214" t="s">
        <v>996</v>
      </c>
      <c r="AZ64" s="214" t="s">
        <v>996</v>
      </c>
      <c r="BA64" s="214" t="s">
        <v>996</v>
      </c>
      <c r="BB64" s="214" t="s">
        <v>996</v>
      </c>
      <c r="BC64" s="214" t="s">
        <v>996</v>
      </c>
      <c r="BD64" s="214" t="s">
        <v>996</v>
      </c>
      <c r="BE64" s="214" t="s">
        <v>996</v>
      </c>
      <c r="BF64" s="215">
        <v>49.86</v>
      </c>
      <c r="BG64" s="215">
        <v>51.74</v>
      </c>
      <c r="BH64" s="215">
        <v>51.9</v>
      </c>
      <c r="BI64" s="215">
        <v>115.1</v>
      </c>
      <c r="BJ64" s="215">
        <v>118.35</v>
      </c>
      <c r="BK64" s="215">
        <v>125.43</v>
      </c>
      <c r="BL64" s="215">
        <v>125.38</v>
      </c>
      <c r="BM64" s="214" t="s">
        <v>996</v>
      </c>
      <c r="BN64" s="214" t="s">
        <v>996</v>
      </c>
      <c r="BO64" s="214" t="s">
        <v>996</v>
      </c>
      <c r="BP64" s="214" t="s">
        <v>996</v>
      </c>
      <c r="BQ64" s="214" t="s">
        <v>996</v>
      </c>
      <c r="BR64" s="214" t="s">
        <v>996</v>
      </c>
      <c r="BS64" s="214" t="s">
        <v>996</v>
      </c>
      <c r="BT64" s="214" t="s">
        <v>996</v>
      </c>
      <c r="BU64" s="214" t="s">
        <v>996</v>
      </c>
      <c r="BV64" s="214" t="s">
        <v>996</v>
      </c>
      <c r="BW64" s="214" t="s">
        <v>996</v>
      </c>
      <c r="BX64" s="214" t="s">
        <v>996</v>
      </c>
      <c r="BY64" s="214" t="s">
        <v>996</v>
      </c>
      <c r="BZ64" s="214" t="s">
        <v>996</v>
      </c>
      <c r="CA64" s="214" t="s">
        <v>996</v>
      </c>
      <c r="CB64" s="214" t="s">
        <v>996</v>
      </c>
      <c r="CC64" s="214" t="s">
        <v>996</v>
      </c>
      <c r="CD64" s="214" t="s">
        <v>996</v>
      </c>
      <c r="CE64" s="214" t="s">
        <v>996</v>
      </c>
      <c r="CF64" s="214" t="s">
        <v>996</v>
      </c>
      <c r="CG64" s="214" t="s">
        <v>996</v>
      </c>
      <c r="CH64" s="214" t="s">
        <v>996</v>
      </c>
      <c r="CI64" s="214" t="s">
        <v>996</v>
      </c>
      <c r="CJ64" s="214" t="s">
        <v>996</v>
      </c>
      <c r="CK64" s="214" t="s">
        <v>996</v>
      </c>
      <c r="CL64" s="214" t="s">
        <v>996</v>
      </c>
      <c r="CM64" s="214" t="s">
        <v>996</v>
      </c>
      <c r="CN64" s="214" t="s">
        <v>996</v>
      </c>
      <c r="CO64" s="214" t="s">
        <v>996</v>
      </c>
      <c r="CP64" s="214" t="s">
        <v>996</v>
      </c>
      <c r="CQ64" s="214" t="s">
        <v>996</v>
      </c>
      <c r="CR64" s="214" t="s">
        <v>996</v>
      </c>
      <c r="CS64" s="214" t="s">
        <v>996</v>
      </c>
      <c r="CT64" s="214" t="s">
        <v>996</v>
      </c>
      <c r="CU64" s="214" t="s">
        <v>996</v>
      </c>
      <c r="CV64" s="214" t="s">
        <v>996</v>
      </c>
      <c r="CW64" s="214" t="s">
        <v>996</v>
      </c>
      <c r="CX64" s="214" t="s">
        <v>996</v>
      </c>
      <c r="CY64" s="214" t="s">
        <v>996</v>
      </c>
      <c r="CZ64" s="214" t="s">
        <v>996</v>
      </c>
      <c r="DA64" s="214" t="s">
        <v>996</v>
      </c>
      <c r="DB64" s="214" t="s">
        <v>996</v>
      </c>
      <c r="DC64" s="214" t="s">
        <v>996</v>
      </c>
      <c r="DD64" s="214" t="s">
        <v>996</v>
      </c>
      <c r="DE64" s="214" t="s">
        <v>996</v>
      </c>
      <c r="DF64" s="214" t="s">
        <v>996</v>
      </c>
      <c r="DG64" s="214" t="s">
        <v>996</v>
      </c>
      <c r="DH64" s="214" t="s">
        <v>996</v>
      </c>
      <c r="DI64" s="214" t="s">
        <v>996</v>
      </c>
      <c r="DJ64" s="214" t="s">
        <v>996</v>
      </c>
      <c r="DK64" s="214" t="s">
        <v>996</v>
      </c>
      <c r="DL64" s="214" t="s">
        <v>996</v>
      </c>
      <c r="DM64" s="214" t="s">
        <v>996</v>
      </c>
      <c r="DN64" s="214" t="s">
        <v>996</v>
      </c>
      <c r="DO64" s="214" t="s">
        <v>996</v>
      </c>
      <c r="DP64" s="214" t="s">
        <v>996</v>
      </c>
      <c r="DQ64" s="214" t="s">
        <v>996</v>
      </c>
      <c r="DR64" s="214" t="s">
        <v>996</v>
      </c>
      <c r="DS64" s="214" t="s">
        <v>996</v>
      </c>
      <c r="DT64" s="214" t="s">
        <v>996</v>
      </c>
      <c r="DU64" s="214" t="s">
        <v>996</v>
      </c>
      <c r="DV64" s="214" t="s">
        <v>996</v>
      </c>
      <c r="DW64" s="214" t="s">
        <v>996</v>
      </c>
      <c r="DX64" s="214" t="s">
        <v>996</v>
      </c>
      <c r="DY64" s="214" t="s">
        <v>996</v>
      </c>
      <c r="DZ64" s="214" t="s">
        <v>996</v>
      </c>
      <c r="EA64" s="214" t="s">
        <v>996</v>
      </c>
      <c r="EB64" s="214" t="s">
        <v>996</v>
      </c>
      <c r="EC64" s="214" t="s">
        <v>996</v>
      </c>
      <c r="ED64" s="214" t="s">
        <v>996</v>
      </c>
      <c r="EE64" s="214" t="s">
        <v>996</v>
      </c>
      <c r="EF64" s="214" t="s">
        <v>996</v>
      </c>
      <c r="EG64" s="214" t="s">
        <v>996</v>
      </c>
    </row>
    <row r="65" spans="1:137" x14ac:dyDescent="0.3">
      <c r="A65" s="210" t="s">
        <v>986</v>
      </c>
      <c r="B65" s="214" t="s">
        <v>987</v>
      </c>
      <c r="C65" s="214" t="s">
        <v>996</v>
      </c>
      <c r="D65" s="214" t="s">
        <v>996</v>
      </c>
      <c r="E65" s="214" t="s">
        <v>996</v>
      </c>
      <c r="F65" s="214" t="s">
        <v>996</v>
      </c>
      <c r="G65" s="214" t="s">
        <v>996</v>
      </c>
      <c r="H65" s="214" t="s">
        <v>996</v>
      </c>
      <c r="I65" s="214" t="s">
        <v>996</v>
      </c>
      <c r="J65" s="214" t="s">
        <v>996</v>
      </c>
      <c r="K65" s="214" t="s">
        <v>996</v>
      </c>
      <c r="L65" s="214" t="s">
        <v>996</v>
      </c>
      <c r="M65" s="214" t="s">
        <v>996</v>
      </c>
      <c r="N65" s="214" t="s">
        <v>996</v>
      </c>
      <c r="O65" s="214" t="s">
        <v>996</v>
      </c>
      <c r="P65" s="215">
        <v>76.67</v>
      </c>
      <c r="Q65" s="215">
        <v>77.48</v>
      </c>
      <c r="R65" s="215">
        <v>80.959999999999994</v>
      </c>
      <c r="S65" s="215">
        <v>84.52</v>
      </c>
      <c r="T65" s="214" t="s">
        <v>996</v>
      </c>
      <c r="U65" s="214" t="s">
        <v>996</v>
      </c>
      <c r="V65" s="214" t="s">
        <v>996</v>
      </c>
      <c r="W65" s="214" t="s">
        <v>996</v>
      </c>
      <c r="X65" s="214" t="s">
        <v>996</v>
      </c>
      <c r="Y65" s="214" t="s">
        <v>996</v>
      </c>
      <c r="Z65" s="214" t="s">
        <v>996</v>
      </c>
      <c r="AA65" s="214" t="s">
        <v>996</v>
      </c>
      <c r="AB65" s="214" t="s">
        <v>996</v>
      </c>
      <c r="AC65" s="214" t="s">
        <v>996</v>
      </c>
      <c r="AD65" s="214" t="s">
        <v>996</v>
      </c>
      <c r="AE65" s="214" t="s">
        <v>996</v>
      </c>
      <c r="AF65" s="214" t="s">
        <v>996</v>
      </c>
      <c r="AG65" s="214" t="s">
        <v>996</v>
      </c>
      <c r="AH65" s="214" t="s">
        <v>996</v>
      </c>
      <c r="AI65" s="214" t="s">
        <v>996</v>
      </c>
      <c r="AJ65" s="214" t="s">
        <v>996</v>
      </c>
      <c r="AK65" s="214" t="s">
        <v>996</v>
      </c>
      <c r="AL65" s="214" t="s">
        <v>996</v>
      </c>
      <c r="AM65" s="214" t="s">
        <v>996</v>
      </c>
      <c r="AN65" s="214" t="s">
        <v>996</v>
      </c>
      <c r="AO65" s="214" t="s">
        <v>996</v>
      </c>
      <c r="AP65" s="214" t="s">
        <v>996</v>
      </c>
      <c r="AQ65" s="214" t="s">
        <v>996</v>
      </c>
      <c r="AR65" s="214" t="s">
        <v>996</v>
      </c>
      <c r="AS65" s="214" t="s">
        <v>996</v>
      </c>
      <c r="AT65" s="214" t="s">
        <v>996</v>
      </c>
      <c r="AU65" s="214" t="s">
        <v>996</v>
      </c>
      <c r="AV65" s="214" t="s">
        <v>996</v>
      </c>
      <c r="AW65" s="214" t="s">
        <v>996</v>
      </c>
      <c r="AX65" s="214" t="s">
        <v>996</v>
      </c>
      <c r="AY65" s="214" t="s">
        <v>996</v>
      </c>
      <c r="AZ65" s="214" t="s">
        <v>996</v>
      </c>
      <c r="BA65" s="214" t="s">
        <v>996</v>
      </c>
      <c r="BB65" s="214" t="s">
        <v>996</v>
      </c>
      <c r="BC65" s="214" t="s">
        <v>996</v>
      </c>
      <c r="BD65" s="214" t="s">
        <v>996</v>
      </c>
      <c r="BE65" s="214" t="s">
        <v>996</v>
      </c>
      <c r="BF65" s="215">
        <v>46.31</v>
      </c>
      <c r="BG65" s="215">
        <v>49.14</v>
      </c>
      <c r="BH65" s="215">
        <v>49.48</v>
      </c>
      <c r="BI65" s="215">
        <v>110.63</v>
      </c>
      <c r="BJ65" s="215">
        <v>113.52</v>
      </c>
      <c r="BK65" s="215">
        <v>115.02</v>
      </c>
      <c r="BL65" s="215">
        <v>114.33</v>
      </c>
      <c r="BM65" s="214" t="s">
        <v>996</v>
      </c>
      <c r="BN65" s="214" t="s">
        <v>996</v>
      </c>
      <c r="BO65" s="214" t="s">
        <v>996</v>
      </c>
      <c r="BP65" s="214" t="s">
        <v>996</v>
      </c>
      <c r="BQ65" s="214" t="s">
        <v>996</v>
      </c>
      <c r="BR65" s="214" t="s">
        <v>996</v>
      </c>
      <c r="BS65" s="214" t="s">
        <v>996</v>
      </c>
      <c r="BT65" s="214" t="s">
        <v>996</v>
      </c>
      <c r="BU65" s="214" t="s">
        <v>996</v>
      </c>
      <c r="BV65" s="214" t="s">
        <v>996</v>
      </c>
      <c r="BW65" s="214" t="s">
        <v>996</v>
      </c>
      <c r="BX65" s="214" t="s">
        <v>996</v>
      </c>
      <c r="BY65" s="214" t="s">
        <v>996</v>
      </c>
      <c r="BZ65" s="214" t="s">
        <v>996</v>
      </c>
      <c r="CA65" s="214" t="s">
        <v>996</v>
      </c>
      <c r="CB65" s="214" t="s">
        <v>996</v>
      </c>
      <c r="CC65" s="214" t="s">
        <v>996</v>
      </c>
      <c r="CD65" s="214" t="s">
        <v>996</v>
      </c>
      <c r="CE65" s="214" t="s">
        <v>996</v>
      </c>
      <c r="CF65" s="214" t="s">
        <v>996</v>
      </c>
      <c r="CG65" s="214" t="s">
        <v>996</v>
      </c>
      <c r="CH65" s="214" t="s">
        <v>996</v>
      </c>
      <c r="CI65" s="214" t="s">
        <v>996</v>
      </c>
      <c r="CJ65" s="214" t="s">
        <v>996</v>
      </c>
      <c r="CK65" s="214" t="s">
        <v>996</v>
      </c>
      <c r="CL65" s="214" t="s">
        <v>996</v>
      </c>
      <c r="CM65" s="214" t="s">
        <v>996</v>
      </c>
      <c r="CN65" s="214" t="s">
        <v>996</v>
      </c>
      <c r="CO65" s="214" t="s">
        <v>996</v>
      </c>
      <c r="CP65" s="214" t="s">
        <v>996</v>
      </c>
      <c r="CQ65" s="214" t="s">
        <v>996</v>
      </c>
      <c r="CR65" s="214" t="s">
        <v>996</v>
      </c>
      <c r="CS65" s="214" t="s">
        <v>996</v>
      </c>
      <c r="CT65" s="214" t="s">
        <v>996</v>
      </c>
      <c r="CU65" s="214" t="s">
        <v>996</v>
      </c>
      <c r="CV65" s="214" t="s">
        <v>996</v>
      </c>
      <c r="CW65" s="214" t="s">
        <v>996</v>
      </c>
      <c r="CX65" s="214" t="s">
        <v>996</v>
      </c>
      <c r="CY65" s="214" t="s">
        <v>996</v>
      </c>
      <c r="CZ65" s="214" t="s">
        <v>996</v>
      </c>
      <c r="DA65" s="214" t="s">
        <v>996</v>
      </c>
      <c r="DB65" s="214" t="s">
        <v>996</v>
      </c>
      <c r="DC65" s="214" t="s">
        <v>996</v>
      </c>
      <c r="DD65" s="214" t="s">
        <v>996</v>
      </c>
      <c r="DE65" s="214" t="s">
        <v>996</v>
      </c>
      <c r="DF65" s="214" t="s">
        <v>996</v>
      </c>
      <c r="DG65" s="214" t="s">
        <v>996</v>
      </c>
      <c r="DH65" s="214" t="s">
        <v>996</v>
      </c>
      <c r="DI65" s="214" t="s">
        <v>996</v>
      </c>
      <c r="DJ65" s="214" t="s">
        <v>996</v>
      </c>
      <c r="DK65" s="214" t="s">
        <v>996</v>
      </c>
      <c r="DL65" s="214" t="s">
        <v>996</v>
      </c>
      <c r="DM65" s="214" t="s">
        <v>996</v>
      </c>
      <c r="DN65" s="214" t="s">
        <v>996</v>
      </c>
      <c r="DO65" s="214" t="s">
        <v>996</v>
      </c>
      <c r="DP65" s="214" t="s">
        <v>996</v>
      </c>
      <c r="DQ65" s="214" t="s">
        <v>996</v>
      </c>
      <c r="DR65" s="214" t="s">
        <v>996</v>
      </c>
      <c r="DS65" s="214" t="s">
        <v>996</v>
      </c>
      <c r="DT65" s="214" t="s">
        <v>996</v>
      </c>
      <c r="DU65" s="214" t="s">
        <v>996</v>
      </c>
      <c r="DV65" s="214" t="s">
        <v>996</v>
      </c>
      <c r="DW65" s="214" t="s">
        <v>996</v>
      </c>
      <c r="DX65" s="214" t="s">
        <v>996</v>
      </c>
      <c r="DY65" s="214" t="s">
        <v>996</v>
      </c>
      <c r="DZ65" s="214" t="s">
        <v>996</v>
      </c>
      <c r="EA65" s="214" t="s">
        <v>996</v>
      </c>
      <c r="EB65" s="214" t="s">
        <v>996</v>
      </c>
      <c r="EC65" s="214" t="s">
        <v>996</v>
      </c>
      <c r="ED65" s="214" t="s">
        <v>996</v>
      </c>
      <c r="EE65" s="214" t="s">
        <v>996</v>
      </c>
      <c r="EF65" s="214" t="s">
        <v>996</v>
      </c>
      <c r="EG65" s="214" t="s">
        <v>996</v>
      </c>
    </row>
    <row r="66" spans="1:137" x14ac:dyDescent="0.3">
      <c r="A66" s="210" t="s">
        <v>988</v>
      </c>
      <c r="B66" s="214" t="s">
        <v>989</v>
      </c>
      <c r="C66" s="214" t="s">
        <v>996</v>
      </c>
      <c r="D66" s="214" t="s">
        <v>996</v>
      </c>
      <c r="E66" s="214" t="s">
        <v>996</v>
      </c>
      <c r="F66" s="214" t="s">
        <v>996</v>
      </c>
      <c r="G66" s="214" t="s">
        <v>996</v>
      </c>
      <c r="H66" s="214" t="s">
        <v>996</v>
      </c>
      <c r="I66" s="214" t="s">
        <v>996</v>
      </c>
      <c r="J66" s="214" t="s">
        <v>996</v>
      </c>
      <c r="K66" s="214" t="s">
        <v>996</v>
      </c>
      <c r="L66" s="214" t="s">
        <v>996</v>
      </c>
      <c r="M66" s="214" t="s">
        <v>996</v>
      </c>
      <c r="N66" s="214" t="s">
        <v>996</v>
      </c>
      <c r="O66" s="214" t="s">
        <v>996</v>
      </c>
      <c r="P66" s="215">
        <v>77.430000000000007</v>
      </c>
      <c r="Q66" s="215">
        <v>83.84</v>
      </c>
      <c r="R66" s="215">
        <v>83.28</v>
      </c>
      <c r="S66" s="214" t="s">
        <v>996</v>
      </c>
      <c r="T66" s="214" t="s">
        <v>996</v>
      </c>
      <c r="U66" s="214" t="s">
        <v>996</v>
      </c>
      <c r="V66" s="214" t="s">
        <v>996</v>
      </c>
      <c r="W66" s="214" t="s">
        <v>996</v>
      </c>
      <c r="X66" s="214" t="s">
        <v>996</v>
      </c>
      <c r="Y66" s="214" t="s">
        <v>996</v>
      </c>
      <c r="Z66" s="214" t="s">
        <v>996</v>
      </c>
      <c r="AA66" s="214" t="s">
        <v>996</v>
      </c>
      <c r="AB66" s="214" t="s">
        <v>996</v>
      </c>
      <c r="AC66" s="214" t="s">
        <v>996</v>
      </c>
      <c r="AD66" s="214" t="s">
        <v>996</v>
      </c>
      <c r="AE66" s="214" t="s">
        <v>996</v>
      </c>
      <c r="AF66" s="214" t="s">
        <v>996</v>
      </c>
      <c r="AG66" s="214" t="s">
        <v>996</v>
      </c>
      <c r="AH66" s="214" t="s">
        <v>996</v>
      </c>
      <c r="AI66" s="214" t="s">
        <v>996</v>
      </c>
      <c r="AJ66" s="214" t="s">
        <v>996</v>
      </c>
      <c r="AK66" s="214" t="s">
        <v>996</v>
      </c>
      <c r="AL66" s="214" t="s">
        <v>996</v>
      </c>
      <c r="AM66" s="214" t="s">
        <v>996</v>
      </c>
      <c r="AN66" s="214" t="s">
        <v>996</v>
      </c>
      <c r="AO66" s="214" t="s">
        <v>996</v>
      </c>
      <c r="AP66" s="214" t="s">
        <v>996</v>
      </c>
      <c r="AQ66" s="214" t="s">
        <v>996</v>
      </c>
      <c r="AR66" s="214" t="s">
        <v>996</v>
      </c>
      <c r="AS66" s="214" t="s">
        <v>996</v>
      </c>
      <c r="AT66" s="214" t="s">
        <v>996</v>
      </c>
      <c r="AU66" s="214" t="s">
        <v>996</v>
      </c>
      <c r="AV66" s="214" t="s">
        <v>996</v>
      </c>
      <c r="AW66" s="214" t="s">
        <v>996</v>
      </c>
      <c r="AX66" s="214" t="s">
        <v>996</v>
      </c>
      <c r="AY66" s="214" t="s">
        <v>996</v>
      </c>
      <c r="AZ66" s="214" t="s">
        <v>996</v>
      </c>
      <c r="BA66" s="214" t="s">
        <v>996</v>
      </c>
      <c r="BB66" s="214" t="s">
        <v>996</v>
      </c>
      <c r="BC66" s="214" t="s">
        <v>996</v>
      </c>
      <c r="BD66" s="214" t="s">
        <v>996</v>
      </c>
      <c r="BE66" s="214" t="s">
        <v>996</v>
      </c>
      <c r="BF66" s="215">
        <v>49.65</v>
      </c>
      <c r="BG66" s="215">
        <v>51.74</v>
      </c>
      <c r="BH66" s="215">
        <v>50.65</v>
      </c>
      <c r="BI66" s="215">
        <v>114.64</v>
      </c>
      <c r="BJ66" s="215">
        <v>117.92</v>
      </c>
      <c r="BK66" s="215">
        <v>125.05</v>
      </c>
      <c r="BL66" s="214" t="s">
        <v>996</v>
      </c>
      <c r="BM66" s="214" t="s">
        <v>996</v>
      </c>
      <c r="BN66" s="214" t="s">
        <v>996</v>
      </c>
      <c r="BO66" s="214" t="s">
        <v>996</v>
      </c>
      <c r="BP66" s="214" t="s">
        <v>996</v>
      </c>
      <c r="BQ66" s="214" t="s">
        <v>996</v>
      </c>
      <c r="BR66" s="214" t="s">
        <v>996</v>
      </c>
      <c r="BS66" s="214" t="s">
        <v>996</v>
      </c>
      <c r="BT66" s="214" t="s">
        <v>996</v>
      </c>
      <c r="BU66" s="214" t="s">
        <v>996</v>
      </c>
      <c r="BV66" s="214" t="s">
        <v>996</v>
      </c>
      <c r="BW66" s="214" t="s">
        <v>996</v>
      </c>
      <c r="BX66" s="214" t="s">
        <v>996</v>
      </c>
      <c r="BY66" s="214" t="s">
        <v>996</v>
      </c>
      <c r="BZ66" s="214" t="s">
        <v>996</v>
      </c>
      <c r="CA66" s="214" t="s">
        <v>996</v>
      </c>
      <c r="CB66" s="214" t="s">
        <v>996</v>
      </c>
      <c r="CC66" s="214" t="s">
        <v>996</v>
      </c>
      <c r="CD66" s="214" t="s">
        <v>996</v>
      </c>
      <c r="CE66" s="214" t="s">
        <v>996</v>
      </c>
      <c r="CF66" s="214" t="s">
        <v>996</v>
      </c>
      <c r="CG66" s="214" t="s">
        <v>996</v>
      </c>
      <c r="CH66" s="214" t="s">
        <v>996</v>
      </c>
      <c r="CI66" s="214" t="s">
        <v>996</v>
      </c>
      <c r="CJ66" s="214" t="s">
        <v>996</v>
      </c>
      <c r="CK66" s="214" t="s">
        <v>996</v>
      </c>
      <c r="CL66" s="214" t="s">
        <v>996</v>
      </c>
      <c r="CM66" s="214" t="s">
        <v>996</v>
      </c>
      <c r="CN66" s="214" t="s">
        <v>996</v>
      </c>
      <c r="CO66" s="214" t="s">
        <v>996</v>
      </c>
      <c r="CP66" s="214" t="s">
        <v>996</v>
      </c>
      <c r="CQ66" s="214" t="s">
        <v>996</v>
      </c>
      <c r="CR66" s="214" t="s">
        <v>996</v>
      </c>
      <c r="CS66" s="214" t="s">
        <v>996</v>
      </c>
      <c r="CT66" s="214" t="s">
        <v>996</v>
      </c>
      <c r="CU66" s="214" t="s">
        <v>996</v>
      </c>
      <c r="CV66" s="214" t="s">
        <v>996</v>
      </c>
      <c r="CW66" s="214" t="s">
        <v>996</v>
      </c>
      <c r="CX66" s="214" t="s">
        <v>996</v>
      </c>
      <c r="CY66" s="214" t="s">
        <v>996</v>
      </c>
      <c r="CZ66" s="214" t="s">
        <v>996</v>
      </c>
      <c r="DA66" s="214" t="s">
        <v>996</v>
      </c>
      <c r="DB66" s="214" t="s">
        <v>996</v>
      </c>
      <c r="DC66" s="214" t="s">
        <v>996</v>
      </c>
      <c r="DD66" s="214" t="s">
        <v>996</v>
      </c>
      <c r="DE66" s="214" t="s">
        <v>996</v>
      </c>
      <c r="DF66" s="214" t="s">
        <v>996</v>
      </c>
      <c r="DG66" s="214" t="s">
        <v>996</v>
      </c>
      <c r="DH66" s="214" t="s">
        <v>996</v>
      </c>
      <c r="DI66" s="214" t="s">
        <v>996</v>
      </c>
      <c r="DJ66" s="214" t="s">
        <v>996</v>
      </c>
      <c r="DK66" s="214" t="s">
        <v>996</v>
      </c>
      <c r="DL66" s="214" t="s">
        <v>996</v>
      </c>
      <c r="DM66" s="214" t="s">
        <v>996</v>
      </c>
      <c r="DN66" s="214" t="s">
        <v>996</v>
      </c>
      <c r="DO66" s="214" t="s">
        <v>996</v>
      </c>
      <c r="DP66" s="214" t="s">
        <v>996</v>
      </c>
      <c r="DQ66" s="214" t="s">
        <v>996</v>
      </c>
      <c r="DR66" s="214" t="s">
        <v>996</v>
      </c>
      <c r="DS66" s="214" t="s">
        <v>996</v>
      </c>
      <c r="DT66" s="214" t="s">
        <v>996</v>
      </c>
      <c r="DU66" s="214" t="s">
        <v>996</v>
      </c>
      <c r="DV66" s="214" t="s">
        <v>996</v>
      </c>
      <c r="DW66" s="214" t="s">
        <v>996</v>
      </c>
      <c r="DX66" s="214" t="s">
        <v>996</v>
      </c>
      <c r="DY66" s="214" t="s">
        <v>996</v>
      </c>
      <c r="DZ66" s="214" t="s">
        <v>996</v>
      </c>
      <c r="EA66" s="214" t="s">
        <v>996</v>
      </c>
      <c r="EB66" s="214" t="s">
        <v>996</v>
      </c>
      <c r="EC66" s="214" t="s">
        <v>996</v>
      </c>
      <c r="ED66" s="214" t="s">
        <v>996</v>
      </c>
      <c r="EE66" s="214" t="s">
        <v>996</v>
      </c>
      <c r="EF66" s="214" t="s">
        <v>996</v>
      </c>
      <c r="EG66" s="214" t="s">
        <v>996</v>
      </c>
    </row>
    <row r="67" spans="1:137" x14ac:dyDescent="0.3">
      <c r="A67" s="211"/>
    </row>
    <row r="68" spans="1:137" x14ac:dyDescent="0.3">
      <c r="A68" s="211"/>
    </row>
    <row r="69" spans="1:137" x14ac:dyDescent="0.3">
      <c r="A69" s="466" t="s">
        <v>1004</v>
      </c>
      <c r="B69" s="466"/>
      <c r="C69" s="466"/>
      <c r="D69" s="466"/>
      <c r="E69" s="466"/>
      <c r="F69" s="466"/>
    </row>
    <row r="70" spans="1:137" x14ac:dyDescent="0.3">
      <c r="A70" s="466"/>
      <c r="B70" s="466"/>
      <c r="C70" s="466"/>
      <c r="D70" s="466"/>
      <c r="E70" s="466"/>
      <c r="F70" s="466"/>
    </row>
    <row r="71" spans="1:137" x14ac:dyDescent="0.3">
      <c r="A71" s="466"/>
      <c r="B71" s="466"/>
      <c r="C71" s="466"/>
      <c r="D71" s="466"/>
      <c r="E71" s="466"/>
      <c r="F71" s="466"/>
    </row>
    <row r="72" spans="1:137" x14ac:dyDescent="0.3">
      <c r="A72" s="466"/>
      <c r="B72" s="466"/>
      <c r="C72" s="466"/>
      <c r="D72" s="466"/>
      <c r="E72" s="466"/>
      <c r="F72" s="466"/>
    </row>
    <row r="73" spans="1:137" x14ac:dyDescent="0.3">
      <c r="A73" s="466"/>
      <c r="B73" s="466"/>
      <c r="C73" s="466"/>
      <c r="D73" s="466"/>
      <c r="E73" s="466"/>
      <c r="F73" s="466"/>
    </row>
    <row r="74" spans="1:137" x14ac:dyDescent="0.3">
      <c r="A74" s="466"/>
      <c r="B74" s="466"/>
      <c r="C74" s="466"/>
      <c r="D74" s="466"/>
      <c r="E74" s="466"/>
      <c r="F74" s="466"/>
    </row>
    <row r="75" spans="1:137" x14ac:dyDescent="0.3">
      <c r="A75" s="466"/>
      <c r="B75" s="466"/>
      <c r="C75" s="466"/>
      <c r="D75" s="466"/>
      <c r="E75" s="466"/>
      <c r="F75" s="466"/>
    </row>
    <row r="76" spans="1:137" x14ac:dyDescent="0.3">
      <c r="A76" s="466" t="s">
        <v>1005</v>
      </c>
      <c r="B76" s="466"/>
      <c r="C76" s="466"/>
      <c r="D76" s="466"/>
      <c r="E76" s="466"/>
      <c r="F76" s="466"/>
    </row>
    <row r="77" spans="1:137" x14ac:dyDescent="0.3">
      <c r="A77" s="466"/>
      <c r="B77" s="466"/>
      <c r="C77" s="466"/>
      <c r="D77" s="466"/>
      <c r="E77" s="466"/>
      <c r="F77" s="466"/>
    </row>
  </sheetData>
  <mergeCells count="5">
    <mergeCell ref="A1:D1"/>
    <mergeCell ref="A2:EG2"/>
    <mergeCell ref="A9:EG9"/>
    <mergeCell ref="A69:F75"/>
    <mergeCell ref="A76:F77"/>
  </mergeCells>
  <pageMargins left="0.7" right="0.7" top="0.75" bottom="0.75" header="0.3" footer="0.3"/>
  <pageSetup orientation="portrait"/>
  <drawing r:id="rId1"/>
</worksheet>
</file>

<file path=docMetadata/LabelInfo.xml><?xml version="1.0" encoding="utf-8"?>
<clbl:labelList xmlns:clbl="http://schemas.microsoft.com/office/2020/mipLabelMetadata">
  <clbl:label id="{912a5d77-fb98-4eee-af32-1334d8f04a53}" enabled="0" method="" siteId="{912a5d77-fb98-4eee-af32-1334d8f04a53}"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5</vt:i4>
      </vt:variant>
    </vt:vector>
  </HeadingPairs>
  <TitlesOfParts>
    <vt:vector size="19" baseType="lpstr">
      <vt:lpstr>Title</vt:lpstr>
      <vt:lpstr>Instructions</vt:lpstr>
      <vt:lpstr>Precedents</vt:lpstr>
      <vt:lpstr>Valuation</vt:lpstr>
      <vt:lpstr>Peer Comps</vt:lpstr>
      <vt:lpstr>DCF </vt:lpstr>
      <vt:lpstr>Exhibits</vt:lpstr>
      <vt:lpstr>Forecasting </vt:lpstr>
      <vt:lpstr>Analysis</vt:lpstr>
      <vt:lpstr>Segments</vt:lpstr>
      <vt:lpstr>historicals + revenue split </vt:lpstr>
      <vt:lpstr>Segment Analysis from cap iq </vt:lpstr>
      <vt:lpstr>Balance Sheet (As Reported)</vt:lpstr>
      <vt:lpstr>CAP IQ Multiples monthly</vt:lpstr>
      <vt:lpstr>'DCF '!Print_Area</vt:lpstr>
      <vt:lpstr>Exhibits!Print_Area</vt:lpstr>
      <vt:lpstr>Instructions!Print_Area</vt:lpstr>
      <vt:lpstr>Precedents!Print_Area</vt:lpstr>
      <vt:lpstr>Title!Print_Area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2015-06-05T18:17:20Z</dcterms:created>
  <dcterms:modified xsi:type="dcterms:W3CDTF">2026-04-22T20:09:39Z</dcterms:modified>
  <cp:category/>
  <cp:contentStatus/>
</cp:coreProperties>
</file>